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de Test" sheetId="1" state="visible" r:id="rId3"/>
    <sheet name="Résumé par Module" sheetId="2" state="visible" r:id="rId4"/>
    <sheet name="Résumé par Type" sheetId="3" state="visible" r:id="rId5"/>
    <sheet name="Critères d'Acceptation" sheetId="4" state="visible" r:id="rId6"/>
    <sheet name="Checklist Env" sheetId="5" state="visible" r:id="rId7"/>
    <sheet name="Tracker Anomali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<sst xmlns="http://schemas.openxmlformats.org/spreadsheetml/2006/main" count="902" uniqueCount="483">
  <si>
    <t xml:space="preserve">GRILLE DE TESTS - ECO LOCAUX / PROSPACTION</t>
  </si>
  <si>
    <t xml:space="preserve">Date: 16/05/2026 | Application: https://appli-prospaction-eco-locaux.vercel.app</t>
  </si>
  <si>
    <t xml:space="preserve">Module/Page</t>
  </si>
  <si>
    <t xml:space="preserve">Type de Test</t>
  </si>
  <si>
    <t xml:space="preserve">Cas de Test</t>
  </si>
  <si>
    <t xml:space="preserve">Description</t>
  </si>
  <si>
    <t xml:space="preserve">Données de Test</t>
  </si>
  <si>
    <t xml:space="preserve">Résultat Attendu</t>
  </si>
  <si>
    <t xml:space="preserve">Statut</t>
  </si>
  <si>
    <t xml:space="preserve">Commentaires</t>
  </si>
  <si>
    <t xml:space="preserve">Recherche</t>
  </si>
  <si>
    <t xml:space="preserve">Fonctionnel</t>
  </si>
  <si>
    <t xml:space="preserve">Chargement page</t>
  </si>
  <si>
    <t xml:space="preserve">Page optimisation.html charge sans erreur</t>
  </si>
  <si>
    <t xml:space="preserve">URL navigateur</t>
  </si>
  <si>
    <t xml:space="preserve">Page visible, formulaires accessibles</t>
  </si>
  <si>
    <t xml:space="preserve">À tester</t>
  </si>
  <si>
    <t xml:space="preserve">Filtre secteur d'activité</t>
  </si>
  <si>
    <t xml:space="preserve">Sélectionner un secteur dans le dropdown</t>
  </si>
  <si>
    <t xml:space="preserve">Boulangerie</t>
  </si>
  <si>
    <t xml:space="preserve">Liste filtrée par secteur</t>
  </si>
  <si>
    <t xml:space="preserve">Filtre localisation</t>
  </si>
  <si>
    <t xml:space="preserve">Rechercher par localisation</t>
  </si>
  <si>
    <t xml:space="preserve">Rhône-Alpes</t>
  </si>
  <si>
    <t xml:space="preserve">Résultats filtrés géographiquement</t>
  </si>
  <si>
    <t xml:space="preserve">Combinaison filtres</t>
  </si>
  <si>
    <t xml:space="preserve">Combiner secteur + localisation</t>
  </si>
  <si>
    <t xml:space="preserve">Boulangerie + Lyon</t>
  </si>
  <si>
    <t xml:space="preserve">Filtres appliqués conjointement</t>
  </si>
  <si>
    <t xml:space="preserve">Chargement contacts</t>
  </si>
  <si>
    <t xml:space="preserve">Tableau se remplit avec contacts</t>
  </si>
  <si>
    <t xml:space="preserve">Clic refresh</t>
  </si>
  <si>
    <t xml:space="preserve">Liste de prospects affichée</t>
  </si>
  <si>
    <t xml:space="preserve">Affichage colonnes</t>
  </si>
  <si>
    <t xml:space="preserve">Vérifier les colonnes du tableau</t>
  </si>
  <si>
    <t xml:space="preserve">Tableau affiché</t>
  </si>
  <si>
    <t xml:space="preserve">Colonnes: Nom, Activité, Ville, Tel, Note, Statut</t>
  </si>
  <si>
    <t xml:space="preserve">Valider la sélection</t>
  </si>
  <si>
    <t xml:space="preserve">Sélectionner et valider contacts</t>
  </si>
  <si>
    <t xml:space="preserve">Checkbox contacts</t>
  </si>
  <si>
    <t xml:space="preserve">Contacts validés stockés</t>
  </si>
  <si>
    <t xml:space="preserve">Générer email IA</t>
  </si>
  <si>
    <t xml:space="preserve">Cliquer sur "Générer l'email"</t>
  </si>
  <si>
    <t xml:space="preserve">Contact sélectionné</t>
  </si>
  <si>
    <t xml:space="preserve">Fenêtre modal email apparaît</t>
  </si>
  <si>
    <t xml:space="preserve">Données</t>
  </si>
  <si>
    <t xml:space="preserve">Intégrité données secteurs</t>
  </si>
  <si>
    <t xml:space="preserve">Vérifier options secteur</t>
  </si>
  <si>
    <t xml:space="preserve">6 secteurs listés</t>
  </si>
  <si>
    <t xml:space="preserve">Tous les secteurs présents</t>
  </si>
  <si>
    <t xml:space="preserve">Format téléphone</t>
  </si>
  <si>
    <t xml:space="preserve">Vérifier format des numéros</t>
  </si>
  <si>
    <t xml:space="preserve">Appel API</t>
  </si>
  <si>
    <t xml:space="preserve">Format français correct</t>
  </si>
  <si>
    <t xml:space="preserve">Coordonnées GPS</t>
  </si>
  <si>
    <t xml:space="preserve">Vérifier géolocalisation</t>
  </si>
  <si>
    <t xml:space="preserve">Données contact</t>
  </si>
  <si>
    <t xml:space="preserve">Lat/Long valides</t>
  </si>
  <si>
    <t xml:space="preserve">Notes Google</t>
  </si>
  <si>
    <t xml:space="preserve">Notes présentes et valides</t>
  </si>
  <si>
    <t xml:space="preserve">Affichage colonne</t>
  </si>
  <si>
    <t xml:space="preserve">Notes entre 0-5</t>
  </si>
  <si>
    <t xml:space="preserve">Performance</t>
  </si>
  <si>
    <t xml:space="preserve">Chargement initial</t>
  </si>
  <si>
    <t xml:space="preserve">Temps du chargement page</t>
  </si>
  <si>
    <t xml:space="preserve">100+ contacts</t>
  </si>
  <si>
    <t xml:space="preserve">Chargement &lt; 3s</t>
  </si>
  <si>
    <t xml:space="preserve">Filtre secteur</t>
  </si>
  <si>
    <t xml:space="preserve">Temps réponse filtre</t>
  </si>
  <si>
    <t xml:space="preserve">Filtrage &lt; 1s</t>
  </si>
  <si>
    <t xml:space="preserve">Temps réponse recherche géo</t>
  </si>
  <si>
    <t xml:space="preserve">Lyon</t>
  </si>
  <si>
    <t xml:space="preserve">Résultats &lt; 2s</t>
  </si>
  <si>
    <t xml:space="preserve">Pagination tableau</t>
  </si>
  <si>
    <t xml:space="preserve">Scroll ou pagination fluide</t>
  </si>
  <si>
    <t xml:space="preserve">1000 contacts</t>
  </si>
  <si>
    <t xml:space="preserve">Interface fluide</t>
  </si>
  <si>
    <t xml:space="preserve">UX</t>
  </si>
  <si>
    <t xml:space="preserve">Responsive mobile</t>
  </si>
  <si>
    <t xml:space="preserve">Interface sur mobile</t>
  </si>
  <si>
    <t xml:space="preserve">375px viewport</t>
  </si>
  <si>
    <t xml:space="preserve">Tous les éléments accessibles</t>
  </si>
  <si>
    <t xml:space="preserve">Labels clairs</t>
  </si>
  <si>
    <t xml:space="preserve">Clarté des labels</t>
  </si>
  <si>
    <t xml:space="preserve">Formulaire</t>
  </si>
  <si>
    <t xml:space="preserve">Compréhension facile</t>
  </si>
  <si>
    <t xml:space="preserve">Feedback utilisateur</t>
  </si>
  <si>
    <t xml:space="preserve">Messages de statut</t>
  </si>
  <si>
    <t xml:space="preserve">Actions utilisateur</t>
  </si>
  <si>
    <t xml:space="preserve">Feedback visible</t>
  </si>
  <si>
    <t xml:space="preserve">Contraste &amp; Accessible</t>
  </si>
  <si>
    <t xml:space="preserve">Normes d'accessibilité</t>
  </si>
  <si>
    <t xml:space="preserve">WCAG 2.1</t>
  </si>
  <si>
    <t xml:space="preserve">Conformité respectée</t>
  </si>
  <si>
    <t xml:space="preserve">Sécurité</t>
  </si>
  <si>
    <t xml:space="preserve">Injection SQL filtre</t>
  </si>
  <si>
    <t xml:space="preserve">Caractères spéciaux en input</t>
  </si>
  <si>
    <t xml:space="preserve">'; DROP TABLE--</t>
  </si>
  <si>
    <t xml:space="preserve">Requête sécurisée/échappée</t>
  </si>
  <si>
    <t xml:space="preserve">XSS en recherche</t>
  </si>
  <si>
    <t xml:space="preserve">Script malveillant en input</t>
  </si>
  <si>
    <t xml:space="preserve">&lt;script&gt;alert(1)&lt;/script&gt;</t>
  </si>
  <si>
    <t xml:space="preserve">Pas d'exécution de script</t>
  </si>
  <si>
    <t xml:space="preserve">CSRF token</t>
  </si>
  <si>
    <t xml:space="preserve">Requêtes POST protégées</t>
  </si>
  <si>
    <t xml:space="preserve">Soumission formulaire</t>
  </si>
  <si>
    <t xml:space="preserve">Token CSRF présent</t>
  </si>
  <si>
    <t xml:space="preserve">Contacts</t>
  </si>
  <si>
    <t xml:space="preserve">Page contacts.html charge correctement</t>
  </si>
  <si>
    <t xml:space="preserve">URL contacts</t>
  </si>
  <si>
    <t xml:space="preserve">Liste de contacts affichée</t>
  </si>
  <si>
    <t xml:space="preserve">Filtre par statut</t>
  </si>
  <si>
    <t xml:space="preserve">Filtrer les contacts par statut</t>
  </si>
  <si>
    <t xml:space="preserve">Statut: Nouveau lead</t>
  </si>
  <si>
    <t xml:space="preserve">Affichage contactsfiltrés</t>
  </si>
  <si>
    <t xml:space="preserve">Recherche dans contacts</t>
  </si>
  <si>
    <t xml:space="preserve">Barre de recherche contact</t>
  </si>
  <si>
    <t xml:space="preserve">Nom entreprise</t>
  </si>
  <si>
    <t xml:space="preserve">Résultats filtrés en temps réel</t>
  </si>
  <si>
    <t xml:space="preserve">Affichage contact</t>
  </si>
  <si>
    <t xml:space="preserve">Carte contact visible</t>
  </si>
  <si>
    <t xml:space="preserve">Infos complètes affichées</t>
  </si>
  <si>
    <t xml:space="preserve">Modal email IA s'ouvre</t>
  </si>
  <si>
    <t xml:space="preserve">Clic sur bouton</t>
  </si>
  <si>
    <t xml:space="preserve">Formulaire email visible</t>
  </si>
  <si>
    <t xml:space="preserve">Intégrité statuts</t>
  </si>
  <si>
    <t xml:space="preserve">Tous les statuts présents</t>
  </si>
  <si>
    <t xml:space="preserve">Dropdown statuts</t>
  </si>
  <si>
    <t xml:space="preserve">8 statuts disponibles</t>
  </si>
  <si>
    <t xml:space="preserve">Pas de doublons</t>
  </si>
  <si>
    <t xml:space="preserve">Vérifier absence de doublons</t>
  </si>
  <si>
    <t xml:space="preserve">BD contacts</t>
  </si>
  <si>
    <t xml:space="preserve">Aucun doublon</t>
  </si>
  <si>
    <t xml:space="preserve">Synchro données</t>
  </si>
  <si>
    <t xml:space="preserve">Données cohérentes avec recherche</t>
  </si>
  <si>
    <t xml:space="preserve">Même contact</t>
  </si>
  <si>
    <t xml:space="preserve">Données identiques</t>
  </si>
  <si>
    <t xml:space="preserve">Chargement liste</t>
  </si>
  <si>
    <t xml:space="preserve">Temps affichage liste</t>
  </si>
  <si>
    <t xml:space="preserve">500+ contacts</t>
  </si>
  <si>
    <t xml:space="preserve">Affichage &lt; 2s</t>
  </si>
  <si>
    <t xml:space="preserve">Filtre statut</t>
  </si>
  <si>
    <t xml:space="preserve">Sélection statut</t>
  </si>
  <si>
    <t xml:space="preserve">Résultats &lt; 1s</t>
  </si>
  <si>
    <t xml:space="preserve">Temps recherche en temps réel</t>
  </si>
  <si>
    <t xml:space="preserve">Saisie nom</t>
  </si>
  <si>
    <t xml:space="preserve">Résultats &lt; 500ms</t>
  </si>
  <si>
    <t xml:space="preserve">Email IA</t>
  </si>
  <si>
    <t xml:space="preserve">Page email-assistant charge</t>
  </si>
  <si>
    <t xml:space="preserve">URL email-assistant</t>
  </si>
  <si>
    <t xml:space="preserve">Formulaire visible</t>
  </si>
  <si>
    <t xml:space="preserve">Sélection prospect</t>
  </si>
  <si>
    <t xml:space="preserve">Choisir un prospect</t>
  </si>
  <si>
    <t xml:space="preserve">Dropdown prospect</t>
  </si>
  <si>
    <t xml:space="preserve">Prospect sélectionné</t>
  </si>
  <si>
    <t xml:space="preserve">Affichage données prospect</t>
  </si>
  <si>
    <t xml:space="preserve">Infos prospect affichées</t>
  </si>
  <si>
    <t xml:space="preserve">Prospect selected</t>
  </si>
  <si>
    <t xml:space="preserve">Secteur, potentiel, focus visible</t>
  </si>
  <si>
    <t xml:space="preserve">Génération email IA</t>
  </si>
  <si>
    <t xml:space="preserve">Cliquer Générer email IA</t>
  </si>
  <si>
    <t xml:space="preserve">Prospect + contexte</t>
  </si>
  <si>
    <t xml:space="preserve">Email généré en json/objet+corps</t>
  </si>
  <si>
    <t xml:space="preserve">Régénération email</t>
  </si>
  <si>
    <t xml:space="preserve">Cliquer Régénérer</t>
  </si>
  <si>
    <t xml:space="preserve">Email déjà généré</t>
  </si>
  <si>
    <t xml:space="preserve">Nouvel email généré</t>
  </si>
  <si>
    <t xml:space="preserve">Validation email</t>
  </si>
  <si>
    <t xml:space="preserve">Valider et envoyer email</t>
  </si>
  <si>
    <t xml:space="preserve">Email généré</t>
  </si>
  <si>
    <t xml:space="preserve">Email envoyé + confirmation</t>
  </si>
  <si>
    <t xml:space="preserve">Edition objet/corps</t>
  </si>
  <si>
    <t xml:space="preserve">Modifier objet et corps</t>
  </si>
  <si>
    <t xml:space="preserve">Édition libre</t>
  </si>
  <si>
    <t xml:space="preserve">Modifications sauvegardées</t>
  </si>
  <si>
    <t xml:space="preserve">Personnalisation données</t>
  </si>
  <si>
    <t xml:space="preserve">Email utilise données prospect</t>
  </si>
  <si>
    <t xml:space="preserve">Données secteur</t>
  </si>
  <si>
    <t xml:space="preserve">Mention secteur dans email</t>
  </si>
  <si>
    <t xml:space="preserve">Estimations énergétiques</t>
  </si>
  <si>
    <t xml:space="preserve">Potentiel économie présent</t>
  </si>
  <si>
    <t xml:space="preserve">Focus énergétique</t>
  </si>
  <si>
    <t xml:space="preserve">22% d'économie visible</t>
  </si>
  <si>
    <t xml:space="preserve">Image activité</t>
  </si>
  <si>
    <t xml:space="preserve">Image correspond au secteur</t>
  </si>
  <si>
    <t xml:space="preserve">Image cohérente affichée</t>
  </si>
  <si>
    <t xml:space="preserve">Génération IA</t>
  </si>
  <si>
    <t xml:space="preserve">Temps génération email</t>
  </si>
  <si>
    <t xml:space="preserve">Appel Claude IA</t>
  </si>
  <si>
    <t xml:space="preserve">Réponse &lt; 5s</t>
  </si>
  <si>
    <t xml:space="preserve">Chargement images</t>
  </si>
  <si>
    <t xml:space="preserve">Images prospect chargent</t>
  </si>
  <si>
    <t xml:space="preserve">Unsplash images</t>
  </si>
  <si>
    <t xml:space="preserve">Interface intuitive</t>
  </si>
  <si>
    <t xml:space="preserve">Workflow logique</t>
  </si>
  <si>
    <t xml:space="preserve">Parcours utilisateur</t>
  </si>
  <si>
    <t xml:space="preserve">Étapes claires</t>
  </si>
  <si>
    <t xml:space="preserve">Feedback génération</t>
  </si>
  <si>
    <t xml:space="preserve">Loading visible pendant IA</t>
  </si>
  <si>
    <t xml:space="preserve">En cours génération</t>
  </si>
  <si>
    <t xml:space="preserve">Spinner/loader visible</t>
  </si>
  <si>
    <t xml:space="preserve">Responsive</t>
  </si>
  <si>
    <t xml:space="preserve">Interface mobile optimisée</t>
  </si>
  <si>
    <t xml:space="preserve">Écran mobile</t>
  </si>
  <si>
    <t xml:space="preserve">Texte lisible, boutons cliquables</t>
  </si>
  <si>
    <t xml:space="preserve">Prompt injection</t>
  </si>
  <si>
    <t xml:space="preserve">Pas d'injection via prompt</t>
  </si>
  <si>
    <t xml:space="preserve">Texte malveillant</t>
  </si>
  <si>
    <t xml:space="preserve">Réponse IA cohérente</t>
  </si>
  <si>
    <t xml:space="preserve">Rate limiting IA</t>
  </si>
  <si>
    <t xml:space="preserve">Limitation appels API IA</t>
  </si>
  <si>
    <t xml:space="preserve">Multiple requêtes</t>
  </si>
  <si>
    <t xml:space="preserve">Protection contre abus</t>
  </si>
  <si>
    <t xml:space="preserve">HTTPS email</t>
  </si>
  <si>
    <t xml:space="preserve">Transmission sécurisée</t>
  </si>
  <si>
    <t xml:space="preserve">Envoi email</t>
  </si>
  <si>
    <t xml:space="preserve">Protocole HTTPS utilisé</t>
  </si>
  <si>
    <t xml:space="preserve">Pipeline</t>
  </si>
  <si>
    <t xml:space="preserve">Page kanban.html charge</t>
  </si>
  <si>
    <t xml:space="preserve">URL kanban</t>
  </si>
  <si>
    <t xml:space="preserve">Vue pipeline visible</t>
  </si>
  <si>
    <t xml:space="preserve">Colonnes de statut visibles</t>
  </si>
  <si>
    <t xml:space="preserve">Pipeline affiché</t>
  </si>
  <si>
    <t xml:space="preserve">5 colonnes: Nouveau, Email, Relancer, RDV, Attente</t>
  </si>
  <si>
    <t xml:space="preserve">Affichage cartes</t>
  </si>
  <si>
    <t xml:space="preserve">Cartes de prospects affichées</t>
  </si>
  <si>
    <t xml:space="preserve">Prospects en BD</t>
  </si>
  <si>
    <t xml:space="preserve">Cartes avec infos contact</t>
  </si>
  <si>
    <t xml:space="preserve">Drag &amp; drop</t>
  </si>
  <si>
    <t xml:space="preserve">Déplacer carte entre colonnes</t>
  </si>
  <si>
    <t xml:space="preserve">Déplacement souris</t>
  </si>
  <si>
    <t xml:space="preserve">Statut mis à jour</t>
  </si>
  <si>
    <t xml:space="preserve">Total prospects</t>
  </si>
  <si>
    <t xml:space="preserve">Compteur total visible</t>
  </si>
  <si>
    <t xml:space="preserve">Prospects BD</t>
  </si>
  <si>
    <t xml:space="preserve">Nombre exact affiché</t>
  </si>
  <si>
    <t xml:space="preserve">Compteurs par étape</t>
  </si>
  <si>
    <t xml:space="preserve">Nombre de prospects par colonne</t>
  </si>
  <si>
    <t xml:space="preserve">Colonnes</t>
  </si>
  <si>
    <t xml:space="preserve">Compteurs corrects</t>
  </si>
  <si>
    <t xml:space="preserve">Relances en retard</t>
  </si>
  <si>
    <t xml:space="preserve">Affichage alertes relances</t>
  </si>
  <si>
    <t xml:space="preserve">Dates passées</t>
  </si>
  <si>
    <t xml:space="preserve">Alerte visible en haut</t>
  </si>
  <si>
    <t xml:space="preserve">Cliquer sur prospect</t>
  </si>
  <si>
    <t xml:space="preserve">Ouvrir détails prospect</t>
  </si>
  <si>
    <t xml:space="preserve">Clic carte</t>
  </si>
  <si>
    <t xml:space="preserve">Modal infos prospect</t>
  </si>
  <si>
    <t xml:space="preserve">Modifier statut</t>
  </si>
  <si>
    <t xml:space="preserve">Modal pour changer statut</t>
  </si>
  <si>
    <t xml:space="preserve">Clic statut</t>
  </si>
  <si>
    <t xml:space="preserve">Dropdown statuts + date</t>
  </si>
  <si>
    <t xml:space="preserve">Planifier RDV</t>
  </si>
  <si>
    <t xml:space="preserve">Modal pour programmer RDV</t>
  </si>
  <si>
    <t xml:space="preserve">Clic "Planifier RDV"</t>
  </si>
  <si>
    <t xml:space="preserve">Formulaire RDV visible</t>
  </si>
  <si>
    <t xml:space="preserve">Email IA depuis kanban</t>
  </si>
  <si>
    <t xml:space="preserve">Clic "Générer email"</t>
  </si>
  <si>
    <t xml:space="preserve">Modal email visible</t>
  </si>
  <si>
    <t xml:space="preserve">Synchronisation statuts</t>
  </si>
  <si>
    <t xml:space="preserve">Statut mis à jour en BD</t>
  </si>
  <si>
    <t xml:space="preserve">BD synchronisée</t>
  </si>
  <si>
    <t xml:space="preserve">Intégrité RDV</t>
  </si>
  <si>
    <t xml:space="preserve">RDV créé correctement</t>
  </si>
  <si>
    <t xml:space="preserve">Formulaire RDV</t>
  </si>
  <si>
    <t xml:space="preserve">Enregistrement en BD</t>
  </si>
  <si>
    <t xml:space="preserve">Cohérence compteurs</t>
  </si>
  <si>
    <t xml:space="preserve">Compteurs = somme cartes</t>
  </si>
  <si>
    <t xml:space="preserve">Nombres corrects</t>
  </si>
  <si>
    <t xml:space="preserve">Chargement kanban</t>
  </si>
  <si>
    <t xml:space="preserve">Temps affichage vue</t>
  </si>
  <si>
    <t xml:space="preserve">Kanban sur 1000 prospects</t>
  </si>
  <si>
    <t xml:space="preserve">Affichage &lt; 3s</t>
  </si>
  <si>
    <t xml:space="preserve">Drag &amp; drop fluide</t>
  </si>
  <si>
    <t xml:space="preserve">Smoothness DND</t>
  </si>
  <si>
    <t xml:space="preserve">Déplacement carte</t>
  </si>
  <si>
    <t xml:space="preserve">Pas de lag/saccade</t>
  </si>
  <si>
    <t xml:space="preserve">Actualisation compteurs</t>
  </si>
  <si>
    <t xml:space="preserve">Mise à jour rapide</t>
  </si>
  <si>
    <t xml:space="preserve">Statut changé</t>
  </si>
  <si>
    <t xml:space="preserve">Compteur &lt; 500ms</t>
  </si>
  <si>
    <t xml:space="preserve">Interface Kanban claire</t>
  </si>
  <si>
    <t xml:space="preserve">Colonnes bien différenciées</t>
  </si>
  <si>
    <t xml:space="preserve">Kanban affiché</t>
  </si>
  <si>
    <t xml:space="preserve">Visuellement distinct</t>
  </si>
  <si>
    <t xml:space="preserve">Responsive Kanban</t>
  </si>
  <si>
    <t xml:space="preserve">Kanban sur mobile</t>
  </si>
  <si>
    <t xml:space="preserve">Scroll horizontal OK</t>
  </si>
  <si>
    <t xml:space="preserve">Feedback actions</t>
  </si>
  <si>
    <t xml:space="preserve">Confirmation drag &amp; drop</t>
  </si>
  <si>
    <t xml:space="preserve">Action utilisateur</t>
  </si>
  <si>
    <t xml:space="preserve">Feedback visuel clair</t>
  </si>
  <si>
    <t xml:space="preserve">Agenda</t>
  </si>
  <si>
    <t xml:space="preserve">Page agenda.html charge</t>
  </si>
  <si>
    <t xml:space="preserve">URL agenda</t>
  </si>
  <si>
    <t xml:space="preserve">Calendrier visible</t>
  </si>
  <si>
    <t xml:space="preserve">Affichage date</t>
  </si>
  <si>
    <t xml:space="preserve">Aujourd'hui marqué</t>
  </si>
  <si>
    <t xml:space="preserve">Jour courant</t>
  </si>
  <si>
    <t xml:space="preserve">Date actuelle surlignée</t>
  </si>
  <si>
    <t xml:space="preserve">Navigation semaine</t>
  </si>
  <si>
    <t xml:space="preserve">Naviguer semaine précédente</t>
  </si>
  <si>
    <t xml:space="preserve">Clic chevron_left</t>
  </si>
  <si>
    <t xml:space="preserve">Affichage semaine précédente</t>
  </si>
  <si>
    <t xml:space="preserve">Navigation suivante</t>
  </si>
  <si>
    <t xml:space="preserve">Naviguer semaine suivante</t>
  </si>
  <si>
    <t xml:space="preserve">Clic chevron_right</t>
  </si>
  <si>
    <t xml:space="preserve">Affichage semaine suivante</t>
  </si>
  <si>
    <t xml:space="preserve">Affichage RDV</t>
  </si>
  <si>
    <t xml:space="preserve">RDV affichés en agenda</t>
  </si>
  <si>
    <t xml:space="preserve">RDV en BD</t>
  </si>
  <si>
    <t xml:space="preserve">RDV visibles à bon jour</t>
  </si>
  <si>
    <t xml:space="preserve">Ajouter RDV</t>
  </si>
  <si>
    <t xml:space="preserve">Cliquer "NOUVEAU RDV"</t>
  </si>
  <si>
    <t xml:space="preserve">Clic bouton</t>
  </si>
  <si>
    <t xml:space="preserve">Modal création RDV</t>
  </si>
  <si>
    <t xml:space="preserve">Choisir prospect pour RDV</t>
  </si>
  <si>
    <t xml:space="preserve">Saisie date RDV</t>
  </si>
  <si>
    <t xml:space="preserve">Sélectionner date RDV</t>
  </si>
  <si>
    <t xml:space="preserve">Datepicker</t>
  </si>
  <si>
    <t xml:space="preserve">Date stockée</t>
  </si>
  <si>
    <t xml:space="preserve">Saisie horaires</t>
  </si>
  <si>
    <t xml:space="preserve">Entrer début et fin RDV</t>
  </si>
  <si>
    <t xml:space="preserve">Timepicker</t>
  </si>
  <si>
    <t xml:space="preserve">Horaires cohérents</t>
  </si>
  <si>
    <t xml:space="preserve">Saisie lieu</t>
  </si>
  <si>
    <t xml:space="preserve">Entrer lieu ou lien visio</t>
  </si>
  <si>
    <t xml:space="preserve">Champ texte</t>
  </si>
  <si>
    <t xml:space="preserve">Lieu sauvegardé</t>
  </si>
  <si>
    <t xml:space="preserve">Confirmation RDV</t>
  </si>
  <si>
    <t xml:space="preserve">Sauvegarder RDV</t>
  </si>
  <si>
    <t xml:space="preserve">Clic Confirmer</t>
  </si>
  <si>
    <t xml:space="preserve">RDV ajouté en agenda</t>
  </si>
  <si>
    <t xml:space="preserve">Prochains RDV</t>
  </si>
  <si>
    <t xml:space="preserve">Section "Upcoming" affichée</t>
  </si>
  <si>
    <t xml:space="preserve">RDV futurs</t>
  </si>
  <si>
    <t xml:space="preserve">Liste prochains RDV visible</t>
  </si>
  <si>
    <t xml:space="preserve">ID Commercial</t>
  </si>
  <si>
    <t xml:space="preserve">Synchronisation Google Calendar</t>
  </si>
  <si>
    <t xml:space="preserve">ID fourni</t>
  </si>
  <si>
    <t xml:space="preserve">RDV sync Google</t>
  </si>
  <si>
    <t xml:space="preserve">RDV créé correctement en BD</t>
  </si>
  <si>
    <t xml:space="preserve">Formulaire RDV complet</t>
  </si>
  <si>
    <t xml:space="preserve">Toutes les infos enregistrées</t>
  </si>
  <si>
    <t xml:space="preserve">Validation horaires</t>
  </si>
  <si>
    <t xml:space="preserve">Début &lt; Fin</t>
  </si>
  <si>
    <t xml:space="preserve">Horaires inversés</t>
  </si>
  <si>
    <t xml:space="preserve">Validation refusée/corrigée</t>
  </si>
  <si>
    <t xml:space="preserve">Sync Google Calendar</t>
  </si>
  <si>
    <t xml:space="preserve">RDV visible dans Google Cal</t>
  </si>
  <si>
    <t xml:space="preserve">RDV créé</t>
  </si>
  <si>
    <t xml:space="preserve">Apparition Google Calendar</t>
  </si>
  <si>
    <t xml:space="preserve">Chargement agenda</t>
  </si>
  <si>
    <t xml:space="preserve">Temps affichage calendrier</t>
  </si>
  <si>
    <t xml:space="preserve">100+ RDV</t>
  </si>
  <si>
    <t xml:space="preserve">Navigation mois</t>
  </si>
  <si>
    <t xml:space="preserve">Passage mois fluide</t>
  </si>
  <si>
    <t xml:space="preserve">Changement mois</t>
  </si>
  <si>
    <t xml:space="preserve">Affichage &lt; 1s</t>
  </si>
  <si>
    <t xml:space="preserve">Calendrier intuitif</t>
  </si>
  <si>
    <t xml:space="preserve">Navigation claire</t>
  </si>
  <si>
    <t xml:space="preserve">Responsive agenda</t>
  </si>
  <si>
    <t xml:space="preserve">Agenda sur mobile</t>
  </si>
  <si>
    <t xml:space="preserve">Calendrier lisible</t>
  </si>
  <si>
    <t xml:space="preserve">RDV lisibles en calendrier</t>
  </si>
  <si>
    <t xml:space="preserve">Jour avec RDV</t>
  </si>
  <si>
    <t xml:space="preserve">Infos visibles et cliquables</t>
  </si>
  <si>
    <t xml:space="preserve">Transverse</t>
  </si>
  <si>
    <t xml:space="preserve">Navigation menu</t>
  </si>
  <si>
    <t xml:space="preserve">Toutes pages accessibles</t>
  </si>
  <si>
    <t xml:space="preserve">Menu déploié</t>
  </si>
  <si>
    <t xml:space="preserve">Tous liens fonctionnels</t>
  </si>
  <si>
    <t xml:space="preserve">Logout</t>
  </si>
  <si>
    <t xml:space="preserve">Cliquer logout</t>
  </si>
  <si>
    <t xml:space="preserve">Menu profil</t>
  </si>
  <si>
    <t xml:space="preserve">Déconnexion + redirection</t>
  </si>
  <si>
    <t xml:space="preserve">Page non trouvée</t>
  </si>
  <si>
    <t xml:space="preserve">URL invalide</t>
  </si>
  <si>
    <t xml:space="preserve">404 route</t>
  </si>
  <si>
    <t xml:space="preserve">Message d'erreur affiché</t>
  </si>
  <si>
    <t xml:space="preserve">Temps de chargement global</t>
  </si>
  <si>
    <t xml:space="preserve">Moyenne toutes pages</t>
  </si>
  <si>
    <t xml:space="preserve">Naviguer app</t>
  </si>
  <si>
    <t xml:space="preserve">Moyenne &lt; 2,5s</t>
  </si>
  <si>
    <t xml:space="preserve">Bundle JS</t>
  </si>
  <si>
    <t xml:space="preserve">Taille bundle optimisée</t>
  </si>
  <si>
    <t xml:space="preserve">Inspection réseau</t>
  </si>
  <si>
    <t xml:space="preserve">Bundle &lt; 500KB</t>
  </si>
  <si>
    <t xml:space="preserve">Cache navigateur</t>
  </si>
  <si>
    <t xml:space="preserve">Cache assets statiques</t>
  </si>
  <si>
    <t xml:space="preserve">Refresh page</t>
  </si>
  <si>
    <t xml:space="preserve">Assets en cache</t>
  </si>
  <si>
    <t xml:space="preserve">Responsive global</t>
  </si>
  <si>
    <t xml:space="preserve">Tous devices testés</t>
  </si>
  <si>
    <t xml:space="preserve">Desktop/Tablet/Mobile</t>
  </si>
  <si>
    <t xml:space="preserve">Interface adaptée</t>
  </si>
  <si>
    <t xml:space="preserve">Consistance design</t>
  </si>
  <si>
    <t xml:space="preserve">Cohérence visuelle</t>
  </si>
  <si>
    <t xml:space="preserve">Tout l'app</t>
  </si>
  <si>
    <t xml:space="preserve">Même style partout</t>
  </si>
  <si>
    <t xml:space="preserve">Accessibilité globale</t>
  </si>
  <si>
    <t xml:space="preserve">Normes WCAG 2.1</t>
  </si>
  <si>
    <t xml:space="preserve">Tests accessibility</t>
  </si>
  <si>
    <t xml:space="preserve">Authentification</t>
  </si>
  <si>
    <t xml:space="preserve">Session secure</t>
  </si>
  <si>
    <t xml:space="preserve">Login/Logout</t>
  </si>
  <si>
    <t xml:space="preserve">Tokens sécurisés</t>
  </si>
  <si>
    <t xml:space="preserve">HTTPS</t>
  </si>
  <si>
    <t xml:space="preserve">Protocole sécurisé</t>
  </si>
  <si>
    <t xml:space="preserve">Toutes pages</t>
  </si>
  <si>
    <t xml:space="preserve">HTTPS obligatoire</t>
  </si>
  <si>
    <t xml:space="preserve">Headers sécurité</t>
  </si>
  <si>
    <t xml:space="preserve">CSP, X-Frame-Options, etc</t>
  </si>
  <si>
    <t xml:space="preserve">Inspection headers</t>
  </si>
  <si>
    <t xml:space="preserve">Headers présents</t>
  </si>
  <si>
    <t xml:space="preserve">Protection XSS</t>
  </si>
  <si>
    <t xml:space="preserve">Échappement HTML</t>
  </si>
  <si>
    <t xml:space="preserve">Tous inputs</t>
  </si>
  <si>
    <t xml:space="preserve">Pas d'injection script</t>
  </si>
  <si>
    <t xml:space="preserve">Protection CSRF</t>
  </si>
  <si>
    <t xml:space="preserve">Token CSRF sur formulaires</t>
  </si>
  <si>
    <t xml:space="preserve">POST requests</t>
  </si>
  <si>
    <t xml:space="preserve">Token présent + validé</t>
  </si>
  <si>
    <t xml:space="preserve">RÉSUMÉ DES TESTS PAR MODULE</t>
  </si>
  <si>
    <t xml:space="preserve">Module</t>
  </si>
  <si>
    <t xml:space="preserve">Fonctionnels</t>
  </si>
  <si>
    <t xml:space="preserve">Total</t>
  </si>
  <si>
    <t xml:space="preserve">TOTAL</t>
  </si>
  <si>
    <t xml:space="preserve">RÉSUMÉ DES TESTS PAR TYPE</t>
  </si>
  <si>
    <t xml:space="preserve">Nombre</t>
  </si>
  <si>
    <t xml:space="preserve">Priorité</t>
  </si>
  <si>
    <t xml:space="preserve">HAUTE</t>
  </si>
  <si>
    <t xml:space="preserve">UX/Ergonomie</t>
  </si>
  <si>
    <t xml:space="preserve">MOYENNE</t>
  </si>
  <si>
    <t xml:space="preserve">CRITÈRES D'ACCEPTATION PAR FONCTIONNALITÉ</t>
  </si>
  <si>
    <t xml:space="preserve">Fonctionnalité</t>
  </si>
  <si>
    <t xml:space="preserve">Critères d'Acceptation</t>
  </si>
  <si>
    <t xml:space="preserve">Filtre Secteur</t>
  </si>
  <si>
    <t xml:space="preserve">Sélection + filtrage fonctionnels dans tous les cas
Aucun secteur dupliqué
Affichage en &lt; 1s</t>
  </si>
  <si>
    <t xml:space="preserve">OK</t>
  </si>
  <si>
    <t xml:space="preserve">Filtre Localisation</t>
  </si>
  <si>
    <t xml:space="preserve">Recherche géo fonctionne
Géolocalisation précise (±50m)
Affichage résultats &lt; 2s</t>
  </si>
  <si>
    <t xml:space="preserve">Tableau Contacts</t>
  </si>
  <si>
    <t xml:space="preserve">Toutes colonnes présentes
Données complètes
Pagination fluide &gt; 500 contacts</t>
  </si>
  <si>
    <t xml:space="preserve">Génération Email IA</t>
  </si>
  <si>
    <t xml:space="preserve">Email généré en &lt; 5s
Contenu personnalisé (secteur+potentiel)
Obejet + corps présents</t>
  </si>
  <si>
    <t xml:space="preserve">Pipeline Kanban</t>
  </si>
  <si>
    <t xml:space="preserve">Drag &amp; Drop fluide
Statut mis à jour immédiatement
Compteurs exacts</t>
  </si>
  <si>
    <t xml:space="preserve">Planification RDV</t>
  </si>
  <si>
    <t xml:space="preserve">Création RDV &lt; 2s
Sync Google Calendar ok
Confirmation envoyée</t>
  </si>
  <si>
    <t xml:space="preserve">Navigation fluide
RDV affichés au bon jour
Responsive sur mobile</t>
  </si>
  <si>
    <t xml:space="preserve">Sécurité globale</t>
  </si>
  <si>
    <t xml:space="preserve">HTTPS obligatoire
Pas d'injection (XSS/SQL)
CSRF tokens présents</t>
  </si>
  <si>
    <t xml:space="preserve">Performance globale</t>
  </si>
  <si>
    <t xml:space="preserve">Temps moyen &lt; 2,5s par page
Bundle &lt; 500KB
Cache navigateur actif</t>
  </si>
  <si>
    <t xml:space="preserve">CHECKLIST DE TEST PAR ENVIRONNEMENT</t>
  </si>
  <si>
    <t xml:space="preserve">Point de vérification</t>
  </si>
  <si>
    <t xml:space="preserve">DEV</t>
  </si>
  <si>
    <t xml:space="preserve">TEST</t>
  </si>
  <si>
    <t xml:space="preserve">PROD</t>
  </si>
  <si>
    <t xml:space="preserve">App charge sans erreur</t>
  </si>
  <si>
    <t xml:space="preserve">☐</t>
  </si>
  <si>
    <t xml:space="preserve">Tous les filtres fonctionnent</t>
  </si>
  <si>
    <t xml:space="preserve">Données affichées correctement</t>
  </si>
  <si>
    <t xml:space="preserve">Email IA répond en &lt; 5s</t>
  </si>
  <si>
    <t xml:space="preserve">Pipeline Kanban fluide</t>
  </si>
  <si>
    <t xml:space="preserve">RDV se créent correctement</t>
  </si>
  <si>
    <t xml:space="preserve">Google Calendar synchro</t>
  </si>
  <si>
    <t xml:space="preserve">HTTPS activé</t>
  </si>
  <si>
    <t xml:space="preserve">CSP headers présent</t>
  </si>
  <si>
    <t xml:space="preserve">CSRF tokens actifs</t>
  </si>
  <si>
    <t xml:space="preserve">XSS échappé</t>
  </si>
  <si>
    <t xml:space="preserve">SQL injection bloquée</t>
  </si>
  <si>
    <t xml:space="preserve">Logs d'erreur vérifiés</t>
  </si>
  <si>
    <t xml:space="preserve">Performance acceptable</t>
  </si>
  <si>
    <t xml:space="preserve">Cache actif</t>
  </si>
  <si>
    <t xml:space="preserve">Responsive testée</t>
  </si>
  <si>
    <t xml:space="preserve">TRACKER D'ANOMALIES</t>
  </si>
  <si>
    <t xml:space="preserve">ID</t>
  </si>
  <si>
    <t xml:space="preserve">Sévérité</t>
  </si>
  <si>
    <t xml:space="preserve">Assigné</t>
  </si>
  <si>
    <t xml:space="preserve">Date</t>
  </si>
  <si>
    <t xml:space="preserve">Notes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</si>
</sst>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3"/>
      <color rgb="FF1F4E78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C7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8.3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5" t="s">
        <v>16</v>
      </c>
      <c r="H5" s="4"/>
    </row>
    <row r="6" customFormat="false" ht="28.35" hidden="false" customHeight="false" outlineLevel="0" collapsed="false">
      <c r="A6" s="4" t="s">
        <v>10</v>
      </c>
      <c r="B6" s="4" t="s">
        <v>11</v>
      </c>
      <c r="C6" s="4" t="s">
        <v>17</v>
      </c>
      <c r="D6" s="4" t="s">
        <v>18</v>
      </c>
      <c r="E6" s="4" t="s">
        <v>19</v>
      </c>
      <c r="F6" s="4" t="s">
        <v>20</v>
      </c>
      <c r="G6" s="5" t="s">
        <v>16</v>
      </c>
      <c r="H6" s="4"/>
    </row>
    <row r="7" customFormat="false" ht="28.35" hidden="false" customHeight="false" outlineLevel="0" collapsed="false">
      <c r="A7" s="4" t="s">
        <v>10</v>
      </c>
      <c r="B7" s="4" t="s">
        <v>11</v>
      </c>
      <c r="C7" s="4" t="s">
        <v>21</v>
      </c>
      <c r="D7" s="4" t="s">
        <v>22</v>
      </c>
      <c r="E7" s="4" t="s">
        <v>23</v>
      </c>
      <c r="F7" s="4" t="s">
        <v>24</v>
      </c>
      <c r="G7" s="5" t="s">
        <v>16</v>
      </c>
      <c r="H7" s="4"/>
    </row>
    <row r="8" customFormat="false" ht="28.35" hidden="false" customHeight="false" outlineLevel="0" collapsed="false">
      <c r="A8" s="4" t="s">
        <v>10</v>
      </c>
      <c r="B8" s="4" t="s">
        <v>11</v>
      </c>
      <c r="C8" s="4" t="s">
        <v>25</v>
      </c>
      <c r="D8" s="4" t="s">
        <v>26</v>
      </c>
      <c r="E8" s="4" t="s">
        <v>27</v>
      </c>
      <c r="F8" s="4" t="s">
        <v>28</v>
      </c>
      <c r="G8" s="5" t="s">
        <v>16</v>
      </c>
      <c r="H8" s="4"/>
    </row>
    <row r="9" customFormat="false" ht="28.35" hidden="false" customHeight="false" outlineLevel="0" collapsed="false">
      <c r="A9" s="4" t="s">
        <v>10</v>
      </c>
      <c r="B9" s="4" t="s">
        <v>11</v>
      </c>
      <c r="C9" s="4" t="s">
        <v>29</v>
      </c>
      <c r="D9" s="4" t="s">
        <v>30</v>
      </c>
      <c r="E9" s="4" t="s">
        <v>31</v>
      </c>
      <c r="F9" s="4" t="s">
        <v>32</v>
      </c>
      <c r="G9" s="5" t="s">
        <v>16</v>
      </c>
      <c r="H9" s="4"/>
    </row>
    <row r="10" customFormat="false" ht="28.35" hidden="false" customHeight="false" outlineLevel="0" collapsed="false">
      <c r="A10" s="4" t="s">
        <v>10</v>
      </c>
      <c r="B10" s="4" t="s">
        <v>11</v>
      </c>
      <c r="C10" s="4" t="s">
        <v>33</v>
      </c>
      <c r="D10" s="4" t="s">
        <v>34</v>
      </c>
      <c r="E10" s="4" t="s">
        <v>35</v>
      </c>
      <c r="F10" s="4" t="s">
        <v>36</v>
      </c>
      <c r="G10" s="5" t="s">
        <v>16</v>
      </c>
      <c r="H10" s="4"/>
    </row>
    <row r="11" customFormat="false" ht="28.35" hidden="false" customHeight="false" outlineLevel="0" collapsed="false">
      <c r="A11" s="4" t="s">
        <v>10</v>
      </c>
      <c r="B11" s="4" t="s">
        <v>11</v>
      </c>
      <c r="C11" s="4" t="s">
        <v>37</v>
      </c>
      <c r="D11" s="4" t="s">
        <v>38</v>
      </c>
      <c r="E11" s="4" t="s">
        <v>39</v>
      </c>
      <c r="F11" s="4" t="s">
        <v>40</v>
      </c>
      <c r="G11" s="5" t="s">
        <v>16</v>
      </c>
      <c r="H11" s="4"/>
    </row>
    <row r="12" customFormat="false" ht="15" hidden="false" customHeight="false" outlineLevel="0" collapsed="false">
      <c r="A12" s="4" t="s">
        <v>10</v>
      </c>
      <c r="B12" s="4" t="s">
        <v>11</v>
      </c>
      <c r="C12" s="4" t="s">
        <v>41</v>
      </c>
      <c r="D12" s="4" t="s">
        <v>42</v>
      </c>
      <c r="E12" s="4" t="s">
        <v>43</v>
      </c>
      <c r="F12" s="4" t="s">
        <v>44</v>
      </c>
      <c r="G12" s="5" t="s">
        <v>16</v>
      </c>
      <c r="H12" s="4"/>
    </row>
    <row r="13" customFormat="false" ht="28.35" hidden="false" customHeight="false" outlineLevel="0" collapsed="false">
      <c r="A13" s="4" t="s">
        <v>10</v>
      </c>
      <c r="B13" s="4" t="s">
        <v>45</v>
      </c>
      <c r="C13" s="4" t="s">
        <v>46</v>
      </c>
      <c r="D13" s="4" t="s">
        <v>47</v>
      </c>
      <c r="E13" s="4" t="s">
        <v>48</v>
      </c>
      <c r="F13" s="4" t="s">
        <v>49</v>
      </c>
      <c r="G13" s="5" t="s">
        <v>16</v>
      </c>
      <c r="H13" s="4"/>
    </row>
    <row r="14" customFormat="false" ht="15" hidden="false" customHeight="false" outlineLevel="0" collapsed="false">
      <c r="A14" s="4" t="s">
        <v>10</v>
      </c>
      <c r="B14" s="4" t="s">
        <v>45</v>
      </c>
      <c r="C14" s="4" t="s">
        <v>50</v>
      </c>
      <c r="D14" s="4" t="s">
        <v>51</v>
      </c>
      <c r="E14" s="4" t="s">
        <v>52</v>
      </c>
      <c r="F14" s="4" t="s">
        <v>53</v>
      </c>
      <c r="G14" s="5" t="s">
        <v>16</v>
      </c>
      <c r="H14" s="4"/>
    </row>
    <row r="15" customFormat="false" ht="15" hidden="false" customHeight="false" outlineLevel="0" collapsed="false">
      <c r="A15" s="4" t="s">
        <v>10</v>
      </c>
      <c r="B15" s="4" t="s">
        <v>45</v>
      </c>
      <c r="C15" s="4" t="s">
        <v>54</v>
      </c>
      <c r="D15" s="4" t="s">
        <v>55</v>
      </c>
      <c r="E15" s="4" t="s">
        <v>56</v>
      </c>
      <c r="F15" s="4" t="s">
        <v>57</v>
      </c>
      <c r="G15" s="5" t="s">
        <v>16</v>
      </c>
      <c r="H15" s="4"/>
    </row>
    <row r="16" customFormat="false" ht="15" hidden="false" customHeight="false" outlineLevel="0" collapsed="false">
      <c r="A16" s="4" t="s">
        <v>10</v>
      </c>
      <c r="B16" s="4" t="s">
        <v>45</v>
      </c>
      <c r="C16" s="4" t="s">
        <v>58</v>
      </c>
      <c r="D16" s="4" t="s">
        <v>59</v>
      </c>
      <c r="E16" s="4" t="s">
        <v>60</v>
      </c>
      <c r="F16" s="4" t="s">
        <v>61</v>
      </c>
      <c r="G16" s="5" t="s">
        <v>16</v>
      </c>
      <c r="H16" s="4"/>
    </row>
    <row r="17" customFormat="false" ht="15" hidden="false" customHeight="false" outlineLevel="0" collapsed="false">
      <c r="A17" s="4" t="s">
        <v>10</v>
      </c>
      <c r="B17" s="4" t="s">
        <v>62</v>
      </c>
      <c r="C17" s="4" t="s">
        <v>63</v>
      </c>
      <c r="D17" s="4" t="s">
        <v>64</v>
      </c>
      <c r="E17" s="4" t="s">
        <v>65</v>
      </c>
      <c r="F17" s="4" t="s">
        <v>66</v>
      </c>
      <c r="G17" s="5" t="s">
        <v>16</v>
      </c>
      <c r="H17" s="4"/>
    </row>
    <row r="18" customFormat="false" ht="15" hidden="false" customHeight="false" outlineLevel="0" collapsed="false">
      <c r="A18" s="4" t="s">
        <v>10</v>
      </c>
      <c r="B18" s="4" t="s">
        <v>62</v>
      </c>
      <c r="C18" s="4" t="s">
        <v>67</v>
      </c>
      <c r="D18" s="4" t="s">
        <v>68</v>
      </c>
      <c r="E18" s="4" t="s">
        <v>19</v>
      </c>
      <c r="F18" s="4" t="s">
        <v>69</v>
      </c>
      <c r="G18" s="5" t="s">
        <v>16</v>
      </c>
      <c r="H18" s="4"/>
    </row>
    <row r="19" customFormat="false" ht="28.35" hidden="false" customHeight="false" outlineLevel="0" collapsed="false">
      <c r="A19" s="4" t="s">
        <v>10</v>
      </c>
      <c r="B19" s="4" t="s">
        <v>62</v>
      </c>
      <c r="C19" s="4" t="s">
        <v>21</v>
      </c>
      <c r="D19" s="4" t="s">
        <v>70</v>
      </c>
      <c r="E19" s="4" t="s">
        <v>71</v>
      </c>
      <c r="F19" s="4" t="s">
        <v>72</v>
      </c>
      <c r="G19" s="5" t="s">
        <v>16</v>
      </c>
      <c r="H19" s="4"/>
    </row>
    <row r="20" customFormat="false" ht="15" hidden="false" customHeight="false" outlineLevel="0" collapsed="false">
      <c r="A20" s="4" t="s">
        <v>10</v>
      </c>
      <c r="B20" s="4" t="s">
        <v>62</v>
      </c>
      <c r="C20" s="4" t="s">
        <v>73</v>
      </c>
      <c r="D20" s="4" t="s">
        <v>74</v>
      </c>
      <c r="E20" s="4" t="s">
        <v>75</v>
      </c>
      <c r="F20" s="4" t="s">
        <v>76</v>
      </c>
      <c r="G20" s="5" t="s">
        <v>16</v>
      </c>
      <c r="H20" s="4"/>
    </row>
    <row r="21" customFormat="false" ht="15" hidden="false" customHeight="false" outlineLevel="0" collapsed="false">
      <c r="A21" s="4" t="s">
        <v>10</v>
      </c>
      <c r="B21" s="4" t="s">
        <v>77</v>
      </c>
      <c r="C21" s="4" t="s">
        <v>78</v>
      </c>
      <c r="D21" s="4" t="s">
        <v>79</v>
      </c>
      <c r="E21" s="4" t="s">
        <v>80</v>
      </c>
      <c r="F21" s="4" t="s">
        <v>81</v>
      </c>
      <c r="G21" s="5" t="s">
        <v>16</v>
      </c>
      <c r="H21" s="4"/>
    </row>
    <row r="22" customFormat="false" ht="15" hidden="false" customHeight="false" outlineLevel="0" collapsed="false">
      <c r="A22" s="4" t="s">
        <v>10</v>
      </c>
      <c r="B22" s="4" t="s">
        <v>77</v>
      </c>
      <c r="C22" s="4" t="s">
        <v>82</v>
      </c>
      <c r="D22" s="4" t="s">
        <v>83</v>
      </c>
      <c r="E22" s="4" t="s">
        <v>84</v>
      </c>
      <c r="F22" s="4" t="s">
        <v>85</v>
      </c>
      <c r="G22" s="5" t="s">
        <v>16</v>
      </c>
      <c r="H22" s="4"/>
    </row>
    <row r="23" customFormat="false" ht="15" hidden="false" customHeight="false" outlineLevel="0" collapsed="false">
      <c r="A23" s="4" t="s">
        <v>10</v>
      </c>
      <c r="B23" s="4" t="s">
        <v>77</v>
      </c>
      <c r="C23" s="4" t="s">
        <v>86</v>
      </c>
      <c r="D23" s="4" t="s">
        <v>87</v>
      </c>
      <c r="E23" s="4" t="s">
        <v>88</v>
      </c>
      <c r="F23" s="4" t="s">
        <v>89</v>
      </c>
      <c r="G23" s="5" t="s">
        <v>16</v>
      </c>
      <c r="H23" s="4"/>
    </row>
    <row r="24" customFormat="false" ht="15" hidden="false" customHeight="false" outlineLevel="0" collapsed="false">
      <c r="A24" s="4" t="s">
        <v>10</v>
      </c>
      <c r="B24" s="4" t="s">
        <v>77</v>
      </c>
      <c r="C24" s="4" t="s">
        <v>90</v>
      </c>
      <c r="D24" s="4" t="s">
        <v>91</v>
      </c>
      <c r="E24" s="4" t="s">
        <v>92</v>
      </c>
      <c r="F24" s="4" t="s">
        <v>93</v>
      </c>
      <c r="G24" s="5" t="s">
        <v>16</v>
      </c>
      <c r="H24" s="4"/>
    </row>
    <row r="25" customFormat="false" ht="15" hidden="false" customHeight="false" outlineLevel="0" collapsed="false">
      <c r="A25" s="4" t="s">
        <v>10</v>
      </c>
      <c r="B25" s="4" t="s">
        <v>94</v>
      </c>
      <c r="C25" s="4" t="s">
        <v>95</v>
      </c>
      <c r="D25" s="4" t="s">
        <v>96</v>
      </c>
      <c r="E25" s="4" t="s">
        <v>97</v>
      </c>
      <c r="F25" s="4" t="s">
        <v>98</v>
      </c>
      <c r="G25" s="5" t="s">
        <v>16</v>
      </c>
      <c r="H25" s="4"/>
    </row>
    <row r="26" customFormat="false" ht="28.35" hidden="false" customHeight="false" outlineLevel="0" collapsed="false">
      <c r="A26" s="4" t="s">
        <v>10</v>
      </c>
      <c r="B26" s="4" t="s">
        <v>94</v>
      </c>
      <c r="C26" s="4" t="s">
        <v>99</v>
      </c>
      <c r="D26" s="4" t="s">
        <v>100</v>
      </c>
      <c r="E26" s="4" t="s">
        <v>101</v>
      </c>
      <c r="F26" s="4" t="s">
        <v>102</v>
      </c>
      <c r="G26" s="5" t="s">
        <v>16</v>
      </c>
      <c r="H26" s="4"/>
    </row>
    <row r="27" customFormat="false" ht="28.35" hidden="false" customHeight="false" outlineLevel="0" collapsed="false">
      <c r="A27" s="4" t="s">
        <v>10</v>
      </c>
      <c r="B27" s="4" t="s">
        <v>94</v>
      </c>
      <c r="C27" s="4" t="s">
        <v>103</v>
      </c>
      <c r="D27" s="4" t="s">
        <v>104</v>
      </c>
      <c r="E27" s="4" t="s">
        <v>105</v>
      </c>
      <c r="F27" s="4" t="s">
        <v>106</v>
      </c>
      <c r="G27" s="5" t="s">
        <v>16</v>
      </c>
      <c r="H27" s="4"/>
    </row>
    <row r="28" customFormat="false" ht="28.35" hidden="false" customHeight="false" outlineLevel="0" collapsed="false">
      <c r="A28" s="4" t="s">
        <v>107</v>
      </c>
      <c r="B28" s="4" t="s">
        <v>11</v>
      </c>
      <c r="C28" s="4" t="s">
        <v>12</v>
      </c>
      <c r="D28" s="4" t="s">
        <v>108</v>
      </c>
      <c r="E28" s="4" t="s">
        <v>109</v>
      </c>
      <c r="F28" s="4" t="s">
        <v>110</v>
      </c>
      <c r="G28" s="5" t="s">
        <v>16</v>
      </c>
      <c r="H28" s="4"/>
    </row>
    <row r="29" customFormat="false" ht="28.35" hidden="false" customHeight="false" outlineLevel="0" collapsed="false">
      <c r="A29" s="4" t="s">
        <v>107</v>
      </c>
      <c r="B29" s="4" t="s">
        <v>11</v>
      </c>
      <c r="C29" s="4" t="s">
        <v>111</v>
      </c>
      <c r="D29" s="4" t="s">
        <v>112</v>
      </c>
      <c r="E29" s="4" t="s">
        <v>113</v>
      </c>
      <c r="F29" s="4" t="s">
        <v>114</v>
      </c>
      <c r="G29" s="5" t="s">
        <v>16</v>
      </c>
      <c r="H29" s="4"/>
    </row>
    <row r="30" customFormat="false" ht="15" hidden="false" customHeight="false" outlineLevel="0" collapsed="false">
      <c r="A30" s="4" t="s">
        <v>107</v>
      </c>
      <c r="B30" s="4" t="s">
        <v>11</v>
      </c>
      <c r="C30" s="4" t="s">
        <v>115</v>
      </c>
      <c r="D30" s="4" t="s">
        <v>116</v>
      </c>
      <c r="E30" s="4" t="s">
        <v>117</v>
      </c>
      <c r="F30" s="4" t="s">
        <v>118</v>
      </c>
      <c r="G30" s="5" t="s">
        <v>16</v>
      </c>
      <c r="H30" s="4"/>
    </row>
    <row r="31" customFormat="false" ht="15" hidden="false" customHeight="false" outlineLevel="0" collapsed="false">
      <c r="A31" s="4" t="s">
        <v>107</v>
      </c>
      <c r="B31" s="4" t="s">
        <v>11</v>
      </c>
      <c r="C31" s="4" t="s">
        <v>119</v>
      </c>
      <c r="D31" s="4" t="s">
        <v>120</v>
      </c>
      <c r="E31" s="4" t="s">
        <v>43</v>
      </c>
      <c r="F31" s="4" t="s">
        <v>121</v>
      </c>
      <c r="G31" s="5" t="s">
        <v>16</v>
      </c>
      <c r="H31" s="4"/>
    </row>
    <row r="32" customFormat="false" ht="15" hidden="false" customHeight="false" outlineLevel="0" collapsed="false">
      <c r="A32" s="4" t="s">
        <v>107</v>
      </c>
      <c r="B32" s="4" t="s">
        <v>11</v>
      </c>
      <c r="C32" s="4" t="s">
        <v>41</v>
      </c>
      <c r="D32" s="4" t="s">
        <v>122</v>
      </c>
      <c r="E32" s="4" t="s">
        <v>123</v>
      </c>
      <c r="F32" s="4" t="s">
        <v>124</v>
      </c>
      <c r="G32" s="5" t="s">
        <v>16</v>
      </c>
      <c r="H32" s="4"/>
    </row>
    <row r="33" customFormat="false" ht="15" hidden="false" customHeight="false" outlineLevel="0" collapsed="false">
      <c r="A33" s="4" t="s">
        <v>107</v>
      </c>
      <c r="B33" s="4" t="s">
        <v>45</v>
      </c>
      <c r="C33" s="4" t="s">
        <v>125</v>
      </c>
      <c r="D33" s="4" t="s">
        <v>126</v>
      </c>
      <c r="E33" s="4" t="s">
        <v>127</v>
      </c>
      <c r="F33" s="4" t="s">
        <v>128</v>
      </c>
      <c r="G33" s="5" t="s">
        <v>16</v>
      </c>
      <c r="H33" s="4"/>
    </row>
    <row r="34" customFormat="false" ht="15" hidden="false" customHeight="false" outlineLevel="0" collapsed="false">
      <c r="A34" s="4" t="s">
        <v>107</v>
      </c>
      <c r="B34" s="4" t="s">
        <v>45</v>
      </c>
      <c r="C34" s="4" t="s">
        <v>129</v>
      </c>
      <c r="D34" s="4" t="s">
        <v>130</v>
      </c>
      <c r="E34" s="4" t="s">
        <v>131</v>
      </c>
      <c r="F34" s="4" t="s">
        <v>132</v>
      </c>
      <c r="G34" s="5" t="s">
        <v>16</v>
      </c>
      <c r="H34" s="4"/>
    </row>
    <row r="35" customFormat="false" ht="28.35" hidden="false" customHeight="false" outlineLevel="0" collapsed="false">
      <c r="A35" s="4" t="s">
        <v>107</v>
      </c>
      <c r="B35" s="4" t="s">
        <v>45</v>
      </c>
      <c r="C35" s="4" t="s">
        <v>133</v>
      </c>
      <c r="D35" s="4" t="s">
        <v>134</v>
      </c>
      <c r="E35" s="4" t="s">
        <v>135</v>
      </c>
      <c r="F35" s="4" t="s">
        <v>136</v>
      </c>
      <c r="G35" s="5" t="s">
        <v>16</v>
      </c>
      <c r="H35" s="4"/>
    </row>
    <row r="36" customFormat="false" ht="15" hidden="false" customHeight="false" outlineLevel="0" collapsed="false">
      <c r="A36" s="4" t="s">
        <v>107</v>
      </c>
      <c r="B36" s="4" t="s">
        <v>62</v>
      </c>
      <c r="C36" s="4" t="s">
        <v>137</v>
      </c>
      <c r="D36" s="4" t="s">
        <v>138</v>
      </c>
      <c r="E36" s="4" t="s">
        <v>139</v>
      </c>
      <c r="F36" s="4" t="s">
        <v>140</v>
      </c>
      <c r="G36" s="5" t="s">
        <v>16</v>
      </c>
      <c r="H36" s="4"/>
    </row>
    <row r="37" customFormat="false" ht="15" hidden="false" customHeight="false" outlineLevel="0" collapsed="false">
      <c r="A37" s="4" t="s">
        <v>107</v>
      </c>
      <c r="B37" s="4" t="s">
        <v>62</v>
      </c>
      <c r="C37" s="4" t="s">
        <v>141</v>
      </c>
      <c r="D37" s="4" t="s">
        <v>68</v>
      </c>
      <c r="E37" s="4" t="s">
        <v>142</v>
      </c>
      <c r="F37" s="4" t="s">
        <v>143</v>
      </c>
      <c r="G37" s="5" t="s">
        <v>16</v>
      </c>
      <c r="H37" s="4"/>
    </row>
    <row r="38" customFormat="false" ht="28.35" hidden="false" customHeight="false" outlineLevel="0" collapsed="false">
      <c r="A38" s="4" t="s">
        <v>107</v>
      </c>
      <c r="B38" s="4" t="s">
        <v>62</v>
      </c>
      <c r="C38" s="4" t="s">
        <v>10</v>
      </c>
      <c r="D38" s="4" t="s">
        <v>144</v>
      </c>
      <c r="E38" s="4" t="s">
        <v>145</v>
      </c>
      <c r="F38" s="4" t="s">
        <v>146</v>
      </c>
      <c r="G38" s="5" t="s">
        <v>16</v>
      </c>
      <c r="H38" s="4"/>
    </row>
    <row r="39" customFormat="false" ht="15" hidden="false" customHeight="false" outlineLevel="0" collapsed="false">
      <c r="A39" s="4" t="s">
        <v>147</v>
      </c>
      <c r="B39" s="4" t="s">
        <v>11</v>
      </c>
      <c r="C39" s="4" t="s">
        <v>12</v>
      </c>
      <c r="D39" s="4" t="s">
        <v>148</v>
      </c>
      <c r="E39" s="4" t="s">
        <v>149</v>
      </c>
      <c r="F39" s="4" t="s">
        <v>150</v>
      </c>
      <c r="G39" s="5" t="s">
        <v>16</v>
      </c>
      <c r="H39" s="4"/>
    </row>
    <row r="40" customFormat="false" ht="15" hidden="false" customHeight="false" outlineLevel="0" collapsed="false">
      <c r="A40" s="4" t="s">
        <v>147</v>
      </c>
      <c r="B40" s="4" t="s">
        <v>11</v>
      </c>
      <c r="C40" s="4" t="s">
        <v>151</v>
      </c>
      <c r="D40" s="4" t="s">
        <v>152</v>
      </c>
      <c r="E40" s="4" t="s">
        <v>153</v>
      </c>
      <c r="F40" s="4" t="s">
        <v>154</v>
      </c>
      <c r="G40" s="5" t="s">
        <v>16</v>
      </c>
      <c r="H40" s="4"/>
    </row>
    <row r="41" customFormat="false" ht="28.35" hidden="false" customHeight="false" outlineLevel="0" collapsed="false">
      <c r="A41" s="4" t="s">
        <v>147</v>
      </c>
      <c r="B41" s="4" t="s">
        <v>11</v>
      </c>
      <c r="C41" s="4" t="s">
        <v>155</v>
      </c>
      <c r="D41" s="4" t="s">
        <v>156</v>
      </c>
      <c r="E41" s="4" t="s">
        <v>157</v>
      </c>
      <c r="F41" s="4" t="s">
        <v>158</v>
      </c>
      <c r="G41" s="5" t="s">
        <v>16</v>
      </c>
      <c r="H41" s="4"/>
    </row>
    <row r="42" customFormat="false" ht="28.35" hidden="false" customHeight="false" outlineLevel="0" collapsed="false">
      <c r="A42" s="4" t="s">
        <v>147</v>
      </c>
      <c r="B42" s="4" t="s">
        <v>11</v>
      </c>
      <c r="C42" s="4" t="s">
        <v>159</v>
      </c>
      <c r="D42" s="4" t="s">
        <v>160</v>
      </c>
      <c r="E42" s="4" t="s">
        <v>161</v>
      </c>
      <c r="F42" s="4" t="s">
        <v>162</v>
      </c>
      <c r="G42" s="5" t="s">
        <v>16</v>
      </c>
      <c r="H42" s="4"/>
    </row>
    <row r="43" customFormat="false" ht="15" hidden="false" customHeight="false" outlineLevel="0" collapsed="false">
      <c r="A43" s="4" t="s">
        <v>147</v>
      </c>
      <c r="B43" s="4" t="s">
        <v>11</v>
      </c>
      <c r="C43" s="4" t="s">
        <v>163</v>
      </c>
      <c r="D43" s="4" t="s">
        <v>164</v>
      </c>
      <c r="E43" s="4" t="s">
        <v>165</v>
      </c>
      <c r="F43" s="4" t="s">
        <v>166</v>
      </c>
      <c r="G43" s="5" t="s">
        <v>16</v>
      </c>
      <c r="H43" s="4"/>
    </row>
    <row r="44" customFormat="false" ht="15" hidden="false" customHeight="false" outlineLevel="0" collapsed="false">
      <c r="A44" s="4" t="s">
        <v>147</v>
      </c>
      <c r="B44" s="4" t="s">
        <v>11</v>
      </c>
      <c r="C44" s="4" t="s">
        <v>167</v>
      </c>
      <c r="D44" s="4" t="s">
        <v>168</v>
      </c>
      <c r="E44" s="4" t="s">
        <v>169</v>
      </c>
      <c r="F44" s="4" t="s">
        <v>170</v>
      </c>
      <c r="G44" s="5" t="s">
        <v>16</v>
      </c>
      <c r="H44" s="4"/>
    </row>
    <row r="45" customFormat="false" ht="15" hidden="false" customHeight="false" outlineLevel="0" collapsed="false">
      <c r="A45" s="4" t="s">
        <v>147</v>
      </c>
      <c r="B45" s="4" t="s">
        <v>11</v>
      </c>
      <c r="C45" s="4" t="s">
        <v>171</v>
      </c>
      <c r="D45" s="4" t="s">
        <v>172</v>
      </c>
      <c r="E45" s="4" t="s">
        <v>173</v>
      </c>
      <c r="F45" s="4" t="s">
        <v>174</v>
      </c>
      <c r="G45" s="5" t="s">
        <v>16</v>
      </c>
      <c r="H45" s="4"/>
    </row>
    <row r="46" customFormat="false" ht="28.35" hidden="false" customHeight="false" outlineLevel="0" collapsed="false">
      <c r="A46" s="4" t="s">
        <v>147</v>
      </c>
      <c r="B46" s="4" t="s">
        <v>45</v>
      </c>
      <c r="C46" s="4" t="s">
        <v>175</v>
      </c>
      <c r="D46" s="4" t="s">
        <v>176</v>
      </c>
      <c r="E46" s="4" t="s">
        <v>177</v>
      </c>
      <c r="F46" s="4" t="s">
        <v>178</v>
      </c>
      <c r="G46" s="5" t="s">
        <v>16</v>
      </c>
      <c r="H46" s="4"/>
    </row>
    <row r="47" customFormat="false" ht="15" hidden="false" customHeight="false" outlineLevel="0" collapsed="false">
      <c r="A47" s="4" t="s">
        <v>147</v>
      </c>
      <c r="B47" s="4" t="s">
        <v>45</v>
      </c>
      <c r="C47" s="4" t="s">
        <v>179</v>
      </c>
      <c r="D47" s="4" t="s">
        <v>180</v>
      </c>
      <c r="E47" s="4" t="s">
        <v>181</v>
      </c>
      <c r="F47" s="4" t="s">
        <v>182</v>
      </c>
      <c r="G47" s="5" t="s">
        <v>16</v>
      </c>
      <c r="H47" s="4"/>
    </row>
    <row r="48" customFormat="false" ht="15" hidden="false" customHeight="false" outlineLevel="0" collapsed="false">
      <c r="A48" s="4" t="s">
        <v>147</v>
      </c>
      <c r="B48" s="4" t="s">
        <v>45</v>
      </c>
      <c r="C48" s="4" t="s">
        <v>183</v>
      </c>
      <c r="D48" s="4" t="s">
        <v>184</v>
      </c>
      <c r="E48" s="4" t="s">
        <v>19</v>
      </c>
      <c r="F48" s="4" t="s">
        <v>185</v>
      </c>
      <c r="G48" s="5" t="s">
        <v>16</v>
      </c>
      <c r="H48" s="4"/>
    </row>
    <row r="49" customFormat="false" ht="15" hidden="false" customHeight="false" outlineLevel="0" collapsed="false">
      <c r="A49" s="4" t="s">
        <v>147</v>
      </c>
      <c r="B49" s="4" t="s">
        <v>62</v>
      </c>
      <c r="C49" s="4" t="s">
        <v>186</v>
      </c>
      <c r="D49" s="4" t="s">
        <v>187</v>
      </c>
      <c r="E49" s="4" t="s">
        <v>188</v>
      </c>
      <c r="F49" s="4" t="s">
        <v>189</v>
      </c>
      <c r="G49" s="5" t="s">
        <v>16</v>
      </c>
      <c r="H49" s="4"/>
    </row>
    <row r="50" customFormat="false" ht="15" hidden="false" customHeight="false" outlineLevel="0" collapsed="false">
      <c r="A50" s="4" t="s">
        <v>147</v>
      </c>
      <c r="B50" s="4" t="s">
        <v>62</v>
      </c>
      <c r="C50" s="4" t="s">
        <v>190</v>
      </c>
      <c r="D50" s="4" t="s">
        <v>191</v>
      </c>
      <c r="E50" s="4" t="s">
        <v>192</v>
      </c>
      <c r="F50" s="4" t="s">
        <v>140</v>
      </c>
      <c r="G50" s="5" t="s">
        <v>16</v>
      </c>
      <c r="H50" s="4"/>
    </row>
    <row r="51" customFormat="false" ht="15" hidden="false" customHeight="false" outlineLevel="0" collapsed="false">
      <c r="A51" s="4" t="s">
        <v>147</v>
      </c>
      <c r="B51" s="4" t="s">
        <v>77</v>
      </c>
      <c r="C51" s="4" t="s">
        <v>193</v>
      </c>
      <c r="D51" s="4" t="s">
        <v>194</v>
      </c>
      <c r="E51" s="4" t="s">
        <v>195</v>
      </c>
      <c r="F51" s="4" t="s">
        <v>196</v>
      </c>
      <c r="G51" s="5" t="s">
        <v>16</v>
      </c>
      <c r="H51" s="4"/>
    </row>
    <row r="52" customFormat="false" ht="15" hidden="false" customHeight="false" outlineLevel="0" collapsed="false">
      <c r="A52" s="4" t="s">
        <v>147</v>
      </c>
      <c r="B52" s="4" t="s">
        <v>77</v>
      </c>
      <c r="C52" s="4" t="s">
        <v>197</v>
      </c>
      <c r="D52" s="4" t="s">
        <v>198</v>
      </c>
      <c r="E52" s="4" t="s">
        <v>199</v>
      </c>
      <c r="F52" s="4" t="s">
        <v>200</v>
      </c>
      <c r="G52" s="5" t="s">
        <v>16</v>
      </c>
      <c r="H52" s="4"/>
    </row>
    <row r="53" customFormat="false" ht="28.35" hidden="false" customHeight="false" outlineLevel="0" collapsed="false">
      <c r="A53" s="4" t="s">
        <v>147</v>
      </c>
      <c r="B53" s="4" t="s">
        <v>77</v>
      </c>
      <c r="C53" s="4" t="s">
        <v>201</v>
      </c>
      <c r="D53" s="4" t="s">
        <v>202</v>
      </c>
      <c r="E53" s="4" t="s">
        <v>203</v>
      </c>
      <c r="F53" s="4" t="s">
        <v>204</v>
      </c>
      <c r="G53" s="5" t="s">
        <v>16</v>
      </c>
      <c r="H53" s="4"/>
    </row>
    <row r="54" customFormat="false" ht="15" hidden="false" customHeight="false" outlineLevel="0" collapsed="false">
      <c r="A54" s="4" t="s">
        <v>147</v>
      </c>
      <c r="B54" s="4" t="s">
        <v>94</v>
      </c>
      <c r="C54" s="4" t="s">
        <v>205</v>
      </c>
      <c r="D54" s="4" t="s">
        <v>206</v>
      </c>
      <c r="E54" s="4" t="s">
        <v>207</v>
      </c>
      <c r="F54" s="4" t="s">
        <v>208</v>
      </c>
      <c r="G54" s="5" t="s">
        <v>16</v>
      </c>
      <c r="H54" s="4"/>
    </row>
    <row r="55" customFormat="false" ht="15" hidden="false" customHeight="false" outlineLevel="0" collapsed="false">
      <c r="A55" s="4" t="s">
        <v>147</v>
      </c>
      <c r="B55" s="4" t="s">
        <v>94</v>
      </c>
      <c r="C55" s="4" t="s">
        <v>209</v>
      </c>
      <c r="D55" s="4" t="s">
        <v>210</v>
      </c>
      <c r="E55" s="4" t="s">
        <v>211</v>
      </c>
      <c r="F55" s="4" t="s">
        <v>212</v>
      </c>
      <c r="G55" s="5" t="s">
        <v>16</v>
      </c>
      <c r="H55" s="4"/>
    </row>
    <row r="56" customFormat="false" ht="15" hidden="false" customHeight="false" outlineLevel="0" collapsed="false">
      <c r="A56" s="4" t="s">
        <v>147</v>
      </c>
      <c r="B56" s="4" t="s">
        <v>94</v>
      </c>
      <c r="C56" s="4" t="s">
        <v>213</v>
      </c>
      <c r="D56" s="4" t="s">
        <v>214</v>
      </c>
      <c r="E56" s="4" t="s">
        <v>215</v>
      </c>
      <c r="F56" s="4" t="s">
        <v>216</v>
      </c>
      <c r="G56" s="5" t="s">
        <v>16</v>
      </c>
      <c r="H56" s="4"/>
    </row>
    <row r="57" customFormat="false" ht="15" hidden="false" customHeight="false" outlineLevel="0" collapsed="false">
      <c r="A57" s="4" t="s">
        <v>217</v>
      </c>
      <c r="B57" s="4" t="s">
        <v>11</v>
      </c>
      <c r="C57" s="4" t="s">
        <v>12</v>
      </c>
      <c r="D57" s="4" t="s">
        <v>218</v>
      </c>
      <c r="E57" s="4" t="s">
        <v>219</v>
      </c>
      <c r="F57" s="4" t="s">
        <v>220</v>
      </c>
      <c r="G57" s="5" t="s">
        <v>16</v>
      </c>
      <c r="H57" s="4"/>
    </row>
    <row r="58" customFormat="false" ht="28.35" hidden="false" customHeight="false" outlineLevel="0" collapsed="false">
      <c r="A58" s="4" t="s">
        <v>217</v>
      </c>
      <c r="B58" s="4" t="s">
        <v>11</v>
      </c>
      <c r="C58" s="4" t="s">
        <v>33</v>
      </c>
      <c r="D58" s="4" t="s">
        <v>221</v>
      </c>
      <c r="E58" s="4" t="s">
        <v>222</v>
      </c>
      <c r="F58" s="4" t="s">
        <v>223</v>
      </c>
      <c r="G58" s="5" t="s">
        <v>16</v>
      </c>
      <c r="H58" s="4"/>
    </row>
    <row r="59" customFormat="false" ht="15" hidden="false" customHeight="false" outlineLevel="0" collapsed="false">
      <c r="A59" s="4" t="s">
        <v>217</v>
      </c>
      <c r="B59" s="4" t="s">
        <v>11</v>
      </c>
      <c r="C59" s="4" t="s">
        <v>224</v>
      </c>
      <c r="D59" s="4" t="s">
        <v>225</v>
      </c>
      <c r="E59" s="4" t="s">
        <v>226</v>
      </c>
      <c r="F59" s="4" t="s">
        <v>227</v>
      </c>
      <c r="G59" s="5" t="s">
        <v>16</v>
      </c>
      <c r="H59" s="4"/>
    </row>
    <row r="60" customFormat="false" ht="28.35" hidden="false" customHeight="false" outlineLevel="0" collapsed="false">
      <c r="A60" s="4" t="s">
        <v>217</v>
      </c>
      <c r="B60" s="4" t="s">
        <v>11</v>
      </c>
      <c r="C60" s="4" t="s">
        <v>228</v>
      </c>
      <c r="D60" s="4" t="s">
        <v>229</v>
      </c>
      <c r="E60" s="4" t="s">
        <v>230</v>
      </c>
      <c r="F60" s="4" t="s">
        <v>231</v>
      </c>
      <c r="G60" s="5" t="s">
        <v>16</v>
      </c>
      <c r="H60" s="4"/>
    </row>
    <row r="61" customFormat="false" ht="15" hidden="false" customHeight="false" outlineLevel="0" collapsed="false">
      <c r="A61" s="4" t="s">
        <v>217</v>
      </c>
      <c r="B61" s="4" t="s">
        <v>11</v>
      </c>
      <c r="C61" s="4" t="s">
        <v>232</v>
      </c>
      <c r="D61" s="4" t="s">
        <v>233</v>
      </c>
      <c r="E61" s="4" t="s">
        <v>234</v>
      </c>
      <c r="F61" s="4" t="s">
        <v>235</v>
      </c>
      <c r="G61" s="5" t="s">
        <v>16</v>
      </c>
      <c r="H61" s="4"/>
    </row>
    <row r="62" customFormat="false" ht="28.35" hidden="false" customHeight="false" outlineLevel="0" collapsed="false">
      <c r="A62" s="4" t="s">
        <v>217</v>
      </c>
      <c r="B62" s="4" t="s">
        <v>11</v>
      </c>
      <c r="C62" s="4" t="s">
        <v>236</v>
      </c>
      <c r="D62" s="4" t="s">
        <v>237</v>
      </c>
      <c r="E62" s="4" t="s">
        <v>238</v>
      </c>
      <c r="F62" s="4" t="s">
        <v>239</v>
      </c>
      <c r="G62" s="5" t="s">
        <v>16</v>
      </c>
      <c r="H62" s="4"/>
    </row>
    <row r="63" customFormat="false" ht="15" hidden="false" customHeight="false" outlineLevel="0" collapsed="false">
      <c r="A63" s="4" t="s">
        <v>217</v>
      </c>
      <c r="B63" s="4" t="s">
        <v>11</v>
      </c>
      <c r="C63" s="4" t="s">
        <v>240</v>
      </c>
      <c r="D63" s="4" t="s">
        <v>241</v>
      </c>
      <c r="E63" s="4" t="s">
        <v>242</v>
      </c>
      <c r="F63" s="4" t="s">
        <v>243</v>
      </c>
      <c r="G63" s="5" t="s">
        <v>16</v>
      </c>
      <c r="H63" s="4"/>
    </row>
    <row r="64" customFormat="false" ht="15" hidden="false" customHeight="false" outlineLevel="0" collapsed="false">
      <c r="A64" s="4" t="s">
        <v>217</v>
      </c>
      <c r="B64" s="4" t="s">
        <v>11</v>
      </c>
      <c r="C64" s="4" t="s">
        <v>244</v>
      </c>
      <c r="D64" s="4" t="s">
        <v>245</v>
      </c>
      <c r="E64" s="4" t="s">
        <v>246</v>
      </c>
      <c r="F64" s="4" t="s">
        <v>247</v>
      </c>
      <c r="G64" s="5" t="s">
        <v>16</v>
      </c>
      <c r="H64" s="4"/>
    </row>
    <row r="65" customFormat="false" ht="15" hidden="false" customHeight="false" outlineLevel="0" collapsed="false">
      <c r="A65" s="4" t="s">
        <v>217</v>
      </c>
      <c r="B65" s="4" t="s">
        <v>11</v>
      </c>
      <c r="C65" s="4" t="s">
        <v>248</v>
      </c>
      <c r="D65" s="4" t="s">
        <v>249</v>
      </c>
      <c r="E65" s="4" t="s">
        <v>250</v>
      </c>
      <c r="F65" s="4" t="s">
        <v>251</v>
      </c>
      <c r="G65" s="5" t="s">
        <v>16</v>
      </c>
      <c r="H65" s="4"/>
    </row>
    <row r="66" customFormat="false" ht="15" hidden="false" customHeight="false" outlineLevel="0" collapsed="false">
      <c r="A66" s="4" t="s">
        <v>217</v>
      </c>
      <c r="B66" s="4" t="s">
        <v>11</v>
      </c>
      <c r="C66" s="4" t="s">
        <v>252</v>
      </c>
      <c r="D66" s="4" t="s">
        <v>253</v>
      </c>
      <c r="E66" s="4" t="s">
        <v>254</v>
      </c>
      <c r="F66" s="4" t="s">
        <v>255</v>
      </c>
      <c r="G66" s="5" t="s">
        <v>16</v>
      </c>
      <c r="H66" s="4"/>
    </row>
    <row r="67" customFormat="false" ht="15" hidden="false" customHeight="false" outlineLevel="0" collapsed="false">
      <c r="A67" s="4" t="s">
        <v>217</v>
      </c>
      <c r="B67" s="4" t="s">
        <v>11</v>
      </c>
      <c r="C67" s="4" t="s">
        <v>41</v>
      </c>
      <c r="D67" s="4" t="s">
        <v>256</v>
      </c>
      <c r="E67" s="4" t="s">
        <v>257</v>
      </c>
      <c r="F67" s="4" t="s">
        <v>258</v>
      </c>
      <c r="G67" s="5" t="s">
        <v>16</v>
      </c>
      <c r="H67" s="4"/>
    </row>
    <row r="68" customFormat="false" ht="15" hidden="false" customHeight="false" outlineLevel="0" collapsed="false">
      <c r="A68" s="4" t="s">
        <v>217</v>
      </c>
      <c r="B68" s="4" t="s">
        <v>45</v>
      </c>
      <c r="C68" s="4" t="s">
        <v>259</v>
      </c>
      <c r="D68" s="4" t="s">
        <v>260</v>
      </c>
      <c r="E68" s="4" t="s">
        <v>228</v>
      </c>
      <c r="F68" s="4" t="s">
        <v>261</v>
      </c>
      <c r="G68" s="5" t="s">
        <v>16</v>
      </c>
      <c r="H68" s="4"/>
    </row>
    <row r="69" customFormat="false" ht="15" hidden="false" customHeight="false" outlineLevel="0" collapsed="false">
      <c r="A69" s="4" t="s">
        <v>217</v>
      </c>
      <c r="B69" s="4" t="s">
        <v>45</v>
      </c>
      <c r="C69" s="4" t="s">
        <v>262</v>
      </c>
      <c r="D69" s="4" t="s">
        <v>263</v>
      </c>
      <c r="E69" s="4" t="s">
        <v>264</v>
      </c>
      <c r="F69" s="4" t="s">
        <v>265</v>
      </c>
      <c r="G69" s="5" t="s">
        <v>16</v>
      </c>
      <c r="H69" s="4"/>
    </row>
    <row r="70" customFormat="false" ht="15" hidden="false" customHeight="false" outlineLevel="0" collapsed="false">
      <c r="A70" s="4" t="s">
        <v>217</v>
      </c>
      <c r="B70" s="4" t="s">
        <v>45</v>
      </c>
      <c r="C70" s="4" t="s">
        <v>266</v>
      </c>
      <c r="D70" s="4" t="s">
        <v>267</v>
      </c>
      <c r="E70" s="4" t="s">
        <v>222</v>
      </c>
      <c r="F70" s="4" t="s">
        <v>268</v>
      </c>
      <c r="G70" s="5" t="s">
        <v>16</v>
      </c>
      <c r="H70" s="4"/>
    </row>
    <row r="71" customFormat="false" ht="28.35" hidden="false" customHeight="false" outlineLevel="0" collapsed="false">
      <c r="A71" s="4" t="s">
        <v>217</v>
      </c>
      <c r="B71" s="4" t="s">
        <v>62</v>
      </c>
      <c r="C71" s="4" t="s">
        <v>269</v>
      </c>
      <c r="D71" s="4" t="s">
        <v>270</v>
      </c>
      <c r="E71" s="4" t="s">
        <v>271</v>
      </c>
      <c r="F71" s="4" t="s">
        <v>272</v>
      </c>
      <c r="G71" s="5" t="s">
        <v>16</v>
      </c>
      <c r="H71" s="4"/>
    </row>
    <row r="72" customFormat="false" ht="15" hidden="false" customHeight="false" outlineLevel="0" collapsed="false">
      <c r="A72" s="4" t="s">
        <v>217</v>
      </c>
      <c r="B72" s="4" t="s">
        <v>62</v>
      </c>
      <c r="C72" s="4" t="s">
        <v>273</v>
      </c>
      <c r="D72" s="4" t="s">
        <v>274</v>
      </c>
      <c r="E72" s="4" t="s">
        <v>275</v>
      </c>
      <c r="F72" s="4" t="s">
        <v>276</v>
      </c>
      <c r="G72" s="5" t="s">
        <v>16</v>
      </c>
      <c r="H72" s="4"/>
    </row>
    <row r="73" customFormat="false" ht="15" hidden="false" customHeight="false" outlineLevel="0" collapsed="false">
      <c r="A73" s="4" t="s">
        <v>217</v>
      </c>
      <c r="B73" s="4" t="s">
        <v>62</v>
      </c>
      <c r="C73" s="4" t="s">
        <v>277</v>
      </c>
      <c r="D73" s="4" t="s">
        <v>278</v>
      </c>
      <c r="E73" s="4" t="s">
        <v>279</v>
      </c>
      <c r="F73" s="4" t="s">
        <v>280</v>
      </c>
      <c r="G73" s="5" t="s">
        <v>16</v>
      </c>
      <c r="H73" s="4"/>
    </row>
    <row r="74" customFormat="false" ht="15" hidden="false" customHeight="false" outlineLevel="0" collapsed="false">
      <c r="A74" s="4" t="s">
        <v>217</v>
      </c>
      <c r="B74" s="4" t="s">
        <v>77</v>
      </c>
      <c r="C74" s="4" t="s">
        <v>281</v>
      </c>
      <c r="D74" s="4" t="s">
        <v>282</v>
      </c>
      <c r="E74" s="4" t="s">
        <v>283</v>
      </c>
      <c r="F74" s="4" t="s">
        <v>284</v>
      </c>
      <c r="G74" s="5" t="s">
        <v>16</v>
      </c>
      <c r="H74" s="4"/>
    </row>
    <row r="75" customFormat="false" ht="15" hidden="false" customHeight="false" outlineLevel="0" collapsed="false">
      <c r="A75" s="4" t="s">
        <v>217</v>
      </c>
      <c r="B75" s="4" t="s">
        <v>77</v>
      </c>
      <c r="C75" s="4" t="s">
        <v>285</v>
      </c>
      <c r="D75" s="4" t="s">
        <v>286</v>
      </c>
      <c r="E75" s="4" t="s">
        <v>80</v>
      </c>
      <c r="F75" s="4" t="s">
        <v>287</v>
      </c>
      <c r="G75" s="5" t="s">
        <v>16</v>
      </c>
      <c r="H75" s="4"/>
    </row>
    <row r="76" customFormat="false" ht="15" hidden="false" customHeight="false" outlineLevel="0" collapsed="false">
      <c r="A76" s="4" t="s">
        <v>217</v>
      </c>
      <c r="B76" s="4" t="s">
        <v>77</v>
      </c>
      <c r="C76" s="4" t="s">
        <v>288</v>
      </c>
      <c r="D76" s="4" t="s">
        <v>289</v>
      </c>
      <c r="E76" s="4" t="s">
        <v>290</v>
      </c>
      <c r="F76" s="4" t="s">
        <v>291</v>
      </c>
      <c r="G76" s="5" t="s">
        <v>16</v>
      </c>
      <c r="H76" s="4"/>
    </row>
    <row r="77" customFormat="false" ht="15" hidden="false" customHeight="false" outlineLevel="0" collapsed="false">
      <c r="A77" s="4" t="s">
        <v>292</v>
      </c>
      <c r="B77" s="4" t="s">
        <v>11</v>
      </c>
      <c r="C77" s="4" t="s">
        <v>12</v>
      </c>
      <c r="D77" s="4" t="s">
        <v>293</v>
      </c>
      <c r="E77" s="4" t="s">
        <v>294</v>
      </c>
      <c r="F77" s="4" t="s">
        <v>295</v>
      </c>
      <c r="G77" s="5" t="s">
        <v>16</v>
      </c>
      <c r="H77" s="4"/>
    </row>
    <row r="78" customFormat="false" ht="15" hidden="false" customHeight="false" outlineLevel="0" collapsed="false">
      <c r="A78" s="4" t="s">
        <v>292</v>
      </c>
      <c r="B78" s="4" t="s">
        <v>11</v>
      </c>
      <c r="C78" s="4" t="s">
        <v>296</v>
      </c>
      <c r="D78" s="4" t="s">
        <v>297</v>
      </c>
      <c r="E78" s="4" t="s">
        <v>298</v>
      </c>
      <c r="F78" s="4" t="s">
        <v>299</v>
      </c>
      <c r="G78" s="5" t="s">
        <v>16</v>
      </c>
      <c r="H78" s="4"/>
    </row>
    <row r="79" customFormat="false" ht="28.35" hidden="false" customHeight="false" outlineLevel="0" collapsed="false">
      <c r="A79" s="4" t="s">
        <v>292</v>
      </c>
      <c r="B79" s="4" t="s">
        <v>11</v>
      </c>
      <c r="C79" s="4" t="s">
        <v>300</v>
      </c>
      <c r="D79" s="4" t="s">
        <v>301</v>
      </c>
      <c r="E79" s="4" t="s">
        <v>302</v>
      </c>
      <c r="F79" s="4" t="s">
        <v>303</v>
      </c>
      <c r="G79" s="5" t="s">
        <v>16</v>
      </c>
      <c r="H79" s="4"/>
    </row>
    <row r="80" customFormat="false" ht="15" hidden="false" customHeight="false" outlineLevel="0" collapsed="false">
      <c r="A80" s="4" t="s">
        <v>292</v>
      </c>
      <c r="B80" s="4" t="s">
        <v>11</v>
      </c>
      <c r="C80" s="4" t="s">
        <v>304</v>
      </c>
      <c r="D80" s="4" t="s">
        <v>305</v>
      </c>
      <c r="E80" s="4" t="s">
        <v>306</v>
      </c>
      <c r="F80" s="4" t="s">
        <v>307</v>
      </c>
      <c r="G80" s="5" t="s">
        <v>16</v>
      </c>
      <c r="H80" s="4"/>
    </row>
    <row r="81" customFormat="false" ht="15" hidden="false" customHeight="false" outlineLevel="0" collapsed="false">
      <c r="A81" s="4" t="s">
        <v>292</v>
      </c>
      <c r="B81" s="4" t="s">
        <v>11</v>
      </c>
      <c r="C81" s="4" t="s">
        <v>308</v>
      </c>
      <c r="D81" s="4" t="s">
        <v>309</v>
      </c>
      <c r="E81" s="4" t="s">
        <v>310</v>
      </c>
      <c r="F81" s="4" t="s">
        <v>311</v>
      </c>
      <c r="G81" s="5" t="s">
        <v>16</v>
      </c>
      <c r="H81" s="4"/>
    </row>
    <row r="82" customFormat="false" ht="15" hidden="false" customHeight="false" outlineLevel="0" collapsed="false">
      <c r="A82" s="4" t="s">
        <v>292</v>
      </c>
      <c r="B82" s="4" t="s">
        <v>11</v>
      </c>
      <c r="C82" s="4" t="s">
        <v>312</v>
      </c>
      <c r="D82" s="4" t="s">
        <v>313</v>
      </c>
      <c r="E82" s="4" t="s">
        <v>314</v>
      </c>
      <c r="F82" s="4" t="s">
        <v>315</v>
      </c>
      <c r="G82" s="5" t="s">
        <v>16</v>
      </c>
      <c r="H82" s="4"/>
    </row>
    <row r="83" customFormat="false" ht="15" hidden="false" customHeight="false" outlineLevel="0" collapsed="false">
      <c r="A83" s="4" t="s">
        <v>292</v>
      </c>
      <c r="B83" s="4" t="s">
        <v>11</v>
      </c>
      <c r="C83" s="4" t="s">
        <v>151</v>
      </c>
      <c r="D83" s="4" t="s">
        <v>316</v>
      </c>
      <c r="E83" s="4" t="s">
        <v>153</v>
      </c>
      <c r="F83" s="4" t="s">
        <v>154</v>
      </c>
      <c r="G83" s="5" t="s">
        <v>16</v>
      </c>
      <c r="H83" s="4"/>
    </row>
    <row r="84" customFormat="false" ht="15" hidden="false" customHeight="false" outlineLevel="0" collapsed="false">
      <c r="A84" s="4" t="s">
        <v>292</v>
      </c>
      <c r="B84" s="4" t="s">
        <v>11</v>
      </c>
      <c r="C84" s="4" t="s">
        <v>317</v>
      </c>
      <c r="D84" s="4" t="s">
        <v>318</v>
      </c>
      <c r="E84" s="4" t="s">
        <v>319</v>
      </c>
      <c r="F84" s="4" t="s">
        <v>320</v>
      </c>
      <c r="G84" s="5" t="s">
        <v>16</v>
      </c>
      <c r="H84" s="4"/>
    </row>
    <row r="85" customFormat="false" ht="15" hidden="false" customHeight="false" outlineLevel="0" collapsed="false">
      <c r="A85" s="4" t="s">
        <v>292</v>
      </c>
      <c r="B85" s="4" t="s">
        <v>11</v>
      </c>
      <c r="C85" s="4" t="s">
        <v>321</v>
      </c>
      <c r="D85" s="4" t="s">
        <v>322</v>
      </c>
      <c r="E85" s="4" t="s">
        <v>323</v>
      </c>
      <c r="F85" s="4" t="s">
        <v>324</v>
      </c>
      <c r="G85" s="5" t="s">
        <v>16</v>
      </c>
      <c r="H85" s="4"/>
    </row>
    <row r="86" customFormat="false" ht="15" hidden="false" customHeight="false" outlineLevel="0" collapsed="false">
      <c r="A86" s="4" t="s">
        <v>292</v>
      </c>
      <c r="B86" s="4" t="s">
        <v>11</v>
      </c>
      <c r="C86" s="4" t="s">
        <v>325</v>
      </c>
      <c r="D86" s="4" t="s">
        <v>326</v>
      </c>
      <c r="E86" s="4" t="s">
        <v>327</v>
      </c>
      <c r="F86" s="4" t="s">
        <v>328</v>
      </c>
      <c r="G86" s="5" t="s">
        <v>16</v>
      </c>
      <c r="H86" s="4"/>
    </row>
    <row r="87" customFormat="false" ht="15" hidden="false" customHeight="false" outlineLevel="0" collapsed="false">
      <c r="A87" s="4" t="s">
        <v>292</v>
      </c>
      <c r="B87" s="4" t="s">
        <v>11</v>
      </c>
      <c r="C87" s="4" t="s">
        <v>329</v>
      </c>
      <c r="D87" s="4" t="s">
        <v>330</v>
      </c>
      <c r="E87" s="4" t="s">
        <v>331</v>
      </c>
      <c r="F87" s="4" t="s">
        <v>332</v>
      </c>
      <c r="G87" s="5" t="s">
        <v>16</v>
      </c>
      <c r="H87" s="4"/>
    </row>
    <row r="88" customFormat="false" ht="15" hidden="false" customHeight="false" outlineLevel="0" collapsed="false">
      <c r="A88" s="4" t="s">
        <v>292</v>
      </c>
      <c r="B88" s="4" t="s">
        <v>11</v>
      </c>
      <c r="C88" s="4" t="s">
        <v>333</v>
      </c>
      <c r="D88" s="4" t="s">
        <v>334</v>
      </c>
      <c r="E88" s="4" t="s">
        <v>335</v>
      </c>
      <c r="F88" s="4" t="s">
        <v>336</v>
      </c>
      <c r="G88" s="5" t="s">
        <v>16</v>
      </c>
      <c r="H88" s="4"/>
    </row>
    <row r="89" customFormat="false" ht="28.35" hidden="false" customHeight="false" outlineLevel="0" collapsed="false">
      <c r="A89" s="4" t="s">
        <v>292</v>
      </c>
      <c r="B89" s="4" t="s">
        <v>11</v>
      </c>
      <c r="C89" s="4" t="s">
        <v>337</v>
      </c>
      <c r="D89" s="4" t="s">
        <v>338</v>
      </c>
      <c r="E89" s="4" t="s">
        <v>339</v>
      </c>
      <c r="F89" s="4" t="s">
        <v>340</v>
      </c>
      <c r="G89" s="5" t="s">
        <v>16</v>
      </c>
      <c r="H89" s="4"/>
    </row>
    <row r="90" customFormat="false" ht="28.35" hidden="false" customHeight="false" outlineLevel="0" collapsed="false">
      <c r="A90" s="4" t="s">
        <v>292</v>
      </c>
      <c r="B90" s="4" t="s">
        <v>45</v>
      </c>
      <c r="C90" s="4" t="s">
        <v>262</v>
      </c>
      <c r="D90" s="4" t="s">
        <v>341</v>
      </c>
      <c r="E90" s="4" t="s">
        <v>342</v>
      </c>
      <c r="F90" s="4" t="s">
        <v>343</v>
      </c>
      <c r="G90" s="5" t="s">
        <v>16</v>
      </c>
      <c r="H90" s="4"/>
    </row>
    <row r="91" customFormat="false" ht="15" hidden="false" customHeight="false" outlineLevel="0" collapsed="false">
      <c r="A91" s="4" t="s">
        <v>292</v>
      </c>
      <c r="B91" s="4" t="s">
        <v>45</v>
      </c>
      <c r="C91" s="4" t="s">
        <v>344</v>
      </c>
      <c r="D91" s="4" t="s">
        <v>345</v>
      </c>
      <c r="E91" s="4" t="s">
        <v>346</v>
      </c>
      <c r="F91" s="4" t="s">
        <v>347</v>
      </c>
      <c r="G91" s="5" t="s">
        <v>16</v>
      </c>
      <c r="H91" s="4"/>
    </row>
    <row r="92" customFormat="false" ht="15" hidden="false" customHeight="false" outlineLevel="0" collapsed="false">
      <c r="A92" s="4" t="s">
        <v>292</v>
      </c>
      <c r="B92" s="4" t="s">
        <v>45</v>
      </c>
      <c r="C92" s="4" t="s">
        <v>348</v>
      </c>
      <c r="D92" s="4" t="s">
        <v>349</v>
      </c>
      <c r="E92" s="4" t="s">
        <v>350</v>
      </c>
      <c r="F92" s="4" t="s">
        <v>351</v>
      </c>
      <c r="G92" s="5" t="s">
        <v>16</v>
      </c>
      <c r="H92" s="4"/>
    </row>
    <row r="93" customFormat="false" ht="15" hidden="false" customHeight="false" outlineLevel="0" collapsed="false">
      <c r="A93" s="4" t="s">
        <v>292</v>
      </c>
      <c r="B93" s="4" t="s">
        <v>62</v>
      </c>
      <c r="C93" s="4" t="s">
        <v>352</v>
      </c>
      <c r="D93" s="4" t="s">
        <v>353</v>
      </c>
      <c r="E93" s="4" t="s">
        <v>354</v>
      </c>
      <c r="F93" s="4" t="s">
        <v>140</v>
      </c>
      <c r="G93" s="5" t="s">
        <v>16</v>
      </c>
      <c r="H93" s="4"/>
    </row>
    <row r="94" customFormat="false" ht="15" hidden="false" customHeight="false" outlineLevel="0" collapsed="false">
      <c r="A94" s="4" t="s">
        <v>292</v>
      </c>
      <c r="B94" s="4" t="s">
        <v>62</v>
      </c>
      <c r="C94" s="4" t="s">
        <v>355</v>
      </c>
      <c r="D94" s="4" t="s">
        <v>356</v>
      </c>
      <c r="E94" s="4" t="s">
        <v>357</v>
      </c>
      <c r="F94" s="4" t="s">
        <v>358</v>
      </c>
      <c r="G94" s="5" t="s">
        <v>16</v>
      </c>
      <c r="H94" s="4"/>
    </row>
    <row r="95" customFormat="false" ht="15" hidden="false" customHeight="false" outlineLevel="0" collapsed="false">
      <c r="A95" s="4" t="s">
        <v>292</v>
      </c>
      <c r="B95" s="4" t="s">
        <v>77</v>
      </c>
      <c r="C95" s="4" t="s">
        <v>359</v>
      </c>
      <c r="D95" s="4" t="s">
        <v>360</v>
      </c>
      <c r="E95" s="4" t="s">
        <v>195</v>
      </c>
      <c r="F95" s="4" t="s">
        <v>85</v>
      </c>
      <c r="G95" s="5" t="s">
        <v>16</v>
      </c>
      <c r="H95" s="4"/>
    </row>
    <row r="96" customFormat="false" ht="15" hidden="false" customHeight="false" outlineLevel="0" collapsed="false">
      <c r="A96" s="4" t="s">
        <v>292</v>
      </c>
      <c r="B96" s="4" t="s">
        <v>77</v>
      </c>
      <c r="C96" s="4" t="s">
        <v>361</v>
      </c>
      <c r="D96" s="4" t="s">
        <v>362</v>
      </c>
      <c r="E96" s="4" t="s">
        <v>80</v>
      </c>
      <c r="F96" s="4" t="s">
        <v>363</v>
      </c>
      <c r="G96" s="5" t="s">
        <v>16</v>
      </c>
      <c r="H96" s="4"/>
    </row>
    <row r="97" customFormat="false" ht="15" hidden="false" customHeight="false" outlineLevel="0" collapsed="false">
      <c r="A97" s="4" t="s">
        <v>292</v>
      </c>
      <c r="B97" s="4" t="s">
        <v>77</v>
      </c>
      <c r="C97" s="4" t="s">
        <v>308</v>
      </c>
      <c r="D97" s="4" t="s">
        <v>364</v>
      </c>
      <c r="E97" s="4" t="s">
        <v>365</v>
      </c>
      <c r="F97" s="4" t="s">
        <v>366</v>
      </c>
      <c r="G97" s="5" t="s">
        <v>16</v>
      </c>
      <c r="H97" s="4"/>
    </row>
    <row r="98" customFormat="false" ht="15" hidden="false" customHeight="false" outlineLevel="0" collapsed="false">
      <c r="A98" s="4" t="s">
        <v>367</v>
      </c>
      <c r="B98" s="4" t="s">
        <v>11</v>
      </c>
      <c r="C98" s="4" t="s">
        <v>368</v>
      </c>
      <c r="D98" s="4" t="s">
        <v>369</v>
      </c>
      <c r="E98" s="4" t="s">
        <v>370</v>
      </c>
      <c r="F98" s="4" t="s">
        <v>371</v>
      </c>
      <c r="G98" s="5" t="s">
        <v>16</v>
      </c>
      <c r="H98" s="4"/>
    </row>
    <row r="99" customFormat="false" ht="15" hidden="false" customHeight="false" outlineLevel="0" collapsed="false">
      <c r="A99" s="4" t="s">
        <v>367</v>
      </c>
      <c r="B99" s="4" t="s">
        <v>11</v>
      </c>
      <c r="C99" s="4" t="s">
        <v>372</v>
      </c>
      <c r="D99" s="4" t="s">
        <v>373</v>
      </c>
      <c r="E99" s="4" t="s">
        <v>374</v>
      </c>
      <c r="F99" s="4" t="s">
        <v>375</v>
      </c>
      <c r="G99" s="5" t="s">
        <v>16</v>
      </c>
      <c r="H99" s="4"/>
    </row>
    <row r="100" customFormat="false" ht="15" hidden="false" customHeight="false" outlineLevel="0" collapsed="false">
      <c r="A100" s="4" t="s">
        <v>367</v>
      </c>
      <c r="B100" s="4" t="s">
        <v>11</v>
      </c>
      <c r="C100" s="4" t="s">
        <v>376</v>
      </c>
      <c r="D100" s="4" t="s">
        <v>377</v>
      </c>
      <c r="E100" s="4" t="s">
        <v>378</v>
      </c>
      <c r="F100" s="4" t="s">
        <v>379</v>
      </c>
      <c r="G100" s="5" t="s">
        <v>16</v>
      </c>
      <c r="H100" s="4"/>
    </row>
    <row r="101" customFormat="false" ht="28.35" hidden="false" customHeight="false" outlineLevel="0" collapsed="false">
      <c r="A101" s="4" t="s">
        <v>367</v>
      </c>
      <c r="B101" s="4" t="s">
        <v>62</v>
      </c>
      <c r="C101" s="4" t="s">
        <v>380</v>
      </c>
      <c r="D101" s="4" t="s">
        <v>381</v>
      </c>
      <c r="E101" s="4" t="s">
        <v>382</v>
      </c>
      <c r="F101" s="4" t="s">
        <v>383</v>
      </c>
      <c r="G101" s="5" t="s">
        <v>16</v>
      </c>
      <c r="H101" s="4"/>
    </row>
    <row r="102" customFormat="false" ht="15" hidden="false" customHeight="false" outlineLevel="0" collapsed="false">
      <c r="A102" s="4" t="s">
        <v>367</v>
      </c>
      <c r="B102" s="4" t="s">
        <v>62</v>
      </c>
      <c r="C102" s="4" t="s">
        <v>384</v>
      </c>
      <c r="D102" s="4" t="s">
        <v>385</v>
      </c>
      <c r="E102" s="4" t="s">
        <v>386</v>
      </c>
      <c r="F102" s="4" t="s">
        <v>387</v>
      </c>
      <c r="G102" s="5" t="s">
        <v>16</v>
      </c>
      <c r="H102" s="4"/>
    </row>
    <row r="103" customFormat="false" ht="15" hidden="false" customHeight="false" outlineLevel="0" collapsed="false">
      <c r="A103" s="4" t="s">
        <v>367</v>
      </c>
      <c r="B103" s="4" t="s">
        <v>62</v>
      </c>
      <c r="C103" s="4" t="s">
        <v>388</v>
      </c>
      <c r="D103" s="4" t="s">
        <v>389</v>
      </c>
      <c r="E103" s="4" t="s">
        <v>390</v>
      </c>
      <c r="F103" s="4" t="s">
        <v>391</v>
      </c>
      <c r="G103" s="5" t="s">
        <v>16</v>
      </c>
      <c r="H103" s="4"/>
    </row>
    <row r="104" customFormat="false" ht="28.35" hidden="false" customHeight="false" outlineLevel="0" collapsed="false">
      <c r="A104" s="4" t="s">
        <v>367</v>
      </c>
      <c r="B104" s="4" t="s">
        <v>77</v>
      </c>
      <c r="C104" s="4" t="s">
        <v>392</v>
      </c>
      <c r="D104" s="4" t="s">
        <v>393</v>
      </c>
      <c r="E104" s="4" t="s">
        <v>394</v>
      </c>
      <c r="F104" s="4" t="s">
        <v>395</v>
      </c>
      <c r="G104" s="5" t="s">
        <v>16</v>
      </c>
      <c r="H104" s="4"/>
    </row>
    <row r="105" customFormat="false" ht="15" hidden="false" customHeight="false" outlineLevel="0" collapsed="false">
      <c r="A105" s="4" t="s">
        <v>367</v>
      </c>
      <c r="B105" s="4" t="s">
        <v>77</v>
      </c>
      <c r="C105" s="4" t="s">
        <v>396</v>
      </c>
      <c r="D105" s="4" t="s">
        <v>397</v>
      </c>
      <c r="E105" s="4" t="s">
        <v>398</v>
      </c>
      <c r="F105" s="4" t="s">
        <v>399</v>
      </c>
      <c r="G105" s="5" t="s">
        <v>16</v>
      </c>
      <c r="H105" s="4"/>
    </row>
    <row r="106" customFormat="false" ht="15" hidden="false" customHeight="false" outlineLevel="0" collapsed="false">
      <c r="A106" s="4" t="s">
        <v>367</v>
      </c>
      <c r="B106" s="4" t="s">
        <v>77</v>
      </c>
      <c r="C106" s="4" t="s">
        <v>400</v>
      </c>
      <c r="D106" s="4" t="s">
        <v>401</v>
      </c>
      <c r="E106" s="4" t="s">
        <v>402</v>
      </c>
      <c r="F106" s="4" t="s">
        <v>93</v>
      </c>
      <c r="G106" s="5" t="s">
        <v>16</v>
      </c>
      <c r="H106" s="4"/>
    </row>
    <row r="107" customFormat="false" ht="15" hidden="false" customHeight="false" outlineLevel="0" collapsed="false">
      <c r="A107" s="4" t="s">
        <v>367</v>
      </c>
      <c r="B107" s="4" t="s">
        <v>94</v>
      </c>
      <c r="C107" s="4" t="s">
        <v>403</v>
      </c>
      <c r="D107" s="4" t="s">
        <v>404</v>
      </c>
      <c r="E107" s="4" t="s">
        <v>405</v>
      </c>
      <c r="F107" s="4" t="s">
        <v>406</v>
      </c>
      <c r="G107" s="5" t="s">
        <v>16</v>
      </c>
      <c r="H107" s="4"/>
    </row>
    <row r="108" customFormat="false" ht="15" hidden="false" customHeight="false" outlineLevel="0" collapsed="false">
      <c r="A108" s="4" t="s">
        <v>367</v>
      </c>
      <c r="B108" s="4" t="s">
        <v>94</v>
      </c>
      <c r="C108" s="4" t="s">
        <v>407</v>
      </c>
      <c r="D108" s="4" t="s">
        <v>408</v>
      </c>
      <c r="E108" s="4" t="s">
        <v>409</v>
      </c>
      <c r="F108" s="4" t="s">
        <v>410</v>
      </c>
      <c r="G108" s="5" t="s">
        <v>16</v>
      </c>
      <c r="H108" s="4"/>
    </row>
    <row r="109" customFormat="false" ht="15" hidden="false" customHeight="false" outlineLevel="0" collapsed="false">
      <c r="A109" s="4" t="s">
        <v>367</v>
      </c>
      <c r="B109" s="4" t="s">
        <v>94</v>
      </c>
      <c r="C109" s="4" t="s">
        <v>411</v>
      </c>
      <c r="D109" s="4" t="s">
        <v>412</v>
      </c>
      <c r="E109" s="4" t="s">
        <v>413</v>
      </c>
      <c r="F109" s="4" t="s">
        <v>414</v>
      </c>
      <c r="G109" s="5" t="s">
        <v>16</v>
      </c>
      <c r="H109" s="4"/>
    </row>
    <row r="110" customFormat="false" ht="15" hidden="false" customHeight="false" outlineLevel="0" collapsed="false">
      <c r="A110" s="4" t="s">
        <v>367</v>
      </c>
      <c r="B110" s="4" t="s">
        <v>94</v>
      </c>
      <c r="C110" s="4" t="s">
        <v>415</v>
      </c>
      <c r="D110" s="4" t="s">
        <v>416</v>
      </c>
      <c r="E110" s="4" t="s">
        <v>417</v>
      </c>
      <c r="F110" s="4" t="s">
        <v>418</v>
      </c>
      <c r="G110" s="5" t="s">
        <v>16</v>
      </c>
      <c r="H110" s="4"/>
    </row>
    <row r="111" customFormat="false" ht="15" hidden="false" customHeight="false" outlineLevel="0" collapsed="false">
      <c r="A111" s="4" t="s">
        <v>367</v>
      </c>
      <c r="B111" s="4" t="s">
        <v>94</v>
      </c>
      <c r="C111" s="4" t="s">
        <v>419</v>
      </c>
      <c r="D111" s="4" t="s">
        <v>420</v>
      </c>
      <c r="E111" s="4" t="s">
        <v>421</v>
      </c>
      <c r="F111" s="4" t="s">
        <v>422</v>
      </c>
      <c r="G111" s="5" t="s">
        <v>16</v>
      </c>
      <c r="H111" s="4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16.15" hidden="false" customHeight="false" outlineLevel="0" collapsed="false">
      <c r="A1" s="6" t="s">
        <v>423</v>
      </c>
      <c r="B1" s="6"/>
      <c r="C1" s="6"/>
      <c r="D1" s="6"/>
      <c r="E1" s="6"/>
    </row>
    <row r="3" customFormat="false" ht="28.35" hidden="false" customHeight="false" outlineLevel="0" collapsed="false">
      <c r="A3" s="3" t="s">
        <v>424</v>
      </c>
      <c r="B3" s="3" t="s">
        <v>425</v>
      </c>
      <c r="C3" s="3" t="s">
        <v>45</v>
      </c>
      <c r="D3" s="3" t="s">
        <v>62</v>
      </c>
      <c r="E3" s="3" t="s">
        <v>426</v>
      </c>
    </row>
    <row r="4" customFormat="false" ht="15" hidden="false" customHeight="false" outlineLevel="0" collapsed="false">
      <c r="A4" s="5" t="s">
        <v>10</v>
      </c>
      <c r="B4" s="5" t="n">
        <v>8</v>
      </c>
      <c r="C4" s="5" t="n">
        <v>4</v>
      </c>
      <c r="D4" s="5" t="n">
        <v>4</v>
      </c>
      <c r="E4" s="5" t="n">
        <f aca="false">16</f>
        <v>16</v>
      </c>
    </row>
    <row r="5" customFormat="false" ht="15" hidden="false" customHeight="false" outlineLevel="0" collapsed="false">
      <c r="A5" s="5" t="s">
        <v>107</v>
      </c>
      <c r="B5" s="5" t="n">
        <v>5</v>
      </c>
      <c r="C5" s="5" t="n">
        <v>3</v>
      </c>
      <c r="D5" s="5" t="n">
        <v>3</v>
      </c>
      <c r="E5" s="5" t="n">
        <f aca="false">11</f>
        <v>11</v>
      </c>
    </row>
    <row r="6" customFormat="false" ht="15" hidden="false" customHeight="false" outlineLevel="0" collapsed="false">
      <c r="A6" s="5" t="s">
        <v>147</v>
      </c>
      <c r="B6" s="5" t="n">
        <v>8</v>
      </c>
      <c r="C6" s="5" t="n">
        <v>3</v>
      </c>
      <c r="D6" s="5" t="n">
        <v>2</v>
      </c>
      <c r="E6" s="5" t="n">
        <f aca="false">13</f>
        <v>13</v>
      </c>
    </row>
    <row r="7" customFormat="false" ht="15" hidden="false" customHeight="false" outlineLevel="0" collapsed="false">
      <c r="A7" s="5" t="s">
        <v>217</v>
      </c>
      <c r="B7" s="5" t="n">
        <v>12</v>
      </c>
      <c r="C7" s="5" t="n">
        <v>3</v>
      </c>
      <c r="D7" s="5" t="n">
        <v>3</v>
      </c>
      <c r="E7" s="5" t="n">
        <f aca="false">18</f>
        <v>18</v>
      </c>
    </row>
    <row r="8" customFormat="false" ht="15" hidden="false" customHeight="false" outlineLevel="0" collapsed="false">
      <c r="A8" s="5" t="s">
        <v>292</v>
      </c>
      <c r="B8" s="5" t="n">
        <v>13</v>
      </c>
      <c r="C8" s="5" t="n">
        <v>3</v>
      </c>
      <c r="D8" s="5" t="n">
        <v>2</v>
      </c>
      <c r="E8" s="5" t="n">
        <f aca="false">18</f>
        <v>18</v>
      </c>
    </row>
    <row r="9" customFormat="false" ht="15" hidden="false" customHeight="false" outlineLevel="0" collapsed="false">
      <c r="A9" s="5" t="s">
        <v>367</v>
      </c>
      <c r="B9" s="5" t="n">
        <v>3</v>
      </c>
      <c r="C9" s="5" t="n">
        <v>0</v>
      </c>
      <c r="D9" s="5" t="n">
        <v>3</v>
      </c>
      <c r="E9" s="5" t="n">
        <f aca="false">6</f>
        <v>6</v>
      </c>
    </row>
    <row r="10" customFormat="false" ht="15" hidden="false" customHeight="false" outlineLevel="0" collapsed="false">
      <c r="A10" s="7" t="s">
        <v>427</v>
      </c>
      <c r="B10" s="7" t="n">
        <f aca="false">SUM(B4:B9)</f>
        <v>49</v>
      </c>
      <c r="C10" s="7" t="n">
        <f aca="false">SUM(C4:C9)</f>
        <v>16</v>
      </c>
      <c r="D10" s="7" t="n">
        <f aca="false">SUM(D4:D9)</f>
        <v>17</v>
      </c>
      <c r="E10" s="7" t="n">
        <f aca="false">SUM(E4:E9)</f>
        <v>82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2"/>
  </cols>
  <sheetData>
    <row r="1" customFormat="false" ht="16.15" hidden="false" customHeight="false" outlineLevel="0" collapsed="false">
      <c r="A1" s="6" t="s">
        <v>428</v>
      </c>
      <c r="B1" s="6"/>
      <c r="C1" s="6"/>
      <c r="D1" s="6"/>
    </row>
    <row r="3" customFormat="false" ht="15" hidden="false" customHeight="false" outlineLevel="0" collapsed="false">
      <c r="A3" s="3" t="s">
        <v>3</v>
      </c>
      <c r="B3" s="3" t="s">
        <v>429</v>
      </c>
      <c r="C3" s="3" t="s">
        <v>8</v>
      </c>
      <c r="D3" s="3" t="s">
        <v>430</v>
      </c>
    </row>
    <row r="4" customFormat="false" ht="15" hidden="false" customHeight="false" outlineLevel="0" collapsed="false">
      <c r="A4" s="5" t="s">
        <v>11</v>
      </c>
      <c r="B4" s="5" t="n">
        <v>49</v>
      </c>
      <c r="C4" s="5" t="s">
        <v>16</v>
      </c>
      <c r="D4" s="8" t="s">
        <v>431</v>
      </c>
    </row>
    <row r="5" customFormat="false" ht="15" hidden="false" customHeight="false" outlineLevel="0" collapsed="false">
      <c r="A5" s="5" t="s">
        <v>62</v>
      </c>
      <c r="B5" s="5" t="n">
        <v>23</v>
      </c>
      <c r="C5" s="5" t="s">
        <v>16</v>
      </c>
      <c r="D5" s="8" t="s">
        <v>431</v>
      </c>
    </row>
    <row r="6" customFormat="false" ht="15" hidden="false" customHeight="false" outlineLevel="0" collapsed="false">
      <c r="A6" s="5" t="s">
        <v>432</v>
      </c>
      <c r="B6" s="5" t="n">
        <v>19</v>
      </c>
      <c r="C6" s="5" t="s">
        <v>16</v>
      </c>
      <c r="D6" s="5" t="s">
        <v>433</v>
      </c>
    </row>
    <row r="7" customFormat="false" ht="15" hidden="false" customHeight="false" outlineLevel="0" collapsed="false">
      <c r="A7" s="5" t="s">
        <v>94</v>
      </c>
      <c r="B7" s="5" t="n">
        <v>14</v>
      </c>
      <c r="C7" s="5" t="s">
        <v>16</v>
      </c>
      <c r="D7" s="8" t="s">
        <v>431</v>
      </c>
    </row>
    <row r="8" customFormat="false" ht="15" hidden="false" customHeight="false" outlineLevel="0" collapsed="false">
      <c r="A8" s="5" t="s">
        <v>45</v>
      </c>
      <c r="B8" s="5" t="n">
        <v>13</v>
      </c>
      <c r="C8" s="5" t="s">
        <v>16</v>
      </c>
      <c r="D8" s="5" t="s">
        <v>433</v>
      </c>
    </row>
    <row r="9" customFormat="false" ht="15" hidden="false" customHeight="false" outlineLevel="0" collapsed="false">
      <c r="A9" s="7" t="s">
        <v>427</v>
      </c>
      <c r="B9" s="7" t="n">
        <f aca="false">SUM(B4:B8)</f>
        <v>118</v>
      </c>
      <c r="C9" s="7"/>
      <c r="D9" s="7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0"/>
    <col collapsed="false" customWidth="true" hidden="false" outlineLevel="0" max="3" min="3" style="0" width="12"/>
  </cols>
  <sheetData>
    <row r="1" customFormat="false" ht="16.15" hidden="false" customHeight="false" outlineLevel="0" collapsed="false">
      <c r="A1" s="6" t="s">
        <v>434</v>
      </c>
      <c r="B1" s="6"/>
      <c r="C1" s="6"/>
    </row>
    <row r="3" customFormat="false" ht="15" hidden="false" customHeight="false" outlineLevel="0" collapsed="false">
      <c r="A3" s="3" t="s">
        <v>435</v>
      </c>
      <c r="B3" s="3" t="s">
        <v>436</v>
      </c>
      <c r="C3" s="3" t="s">
        <v>8</v>
      </c>
    </row>
    <row r="4" customFormat="false" ht="41.75" hidden="false" customHeight="false" outlineLevel="0" collapsed="false">
      <c r="A4" s="4" t="s">
        <v>437</v>
      </c>
      <c r="B4" s="4" t="s">
        <v>438</v>
      </c>
      <c r="C4" s="5" t="s">
        <v>439</v>
      </c>
    </row>
    <row r="5" customFormat="false" ht="41.75" hidden="false" customHeight="false" outlineLevel="0" collapsed="false">
      <c r="A5" s="4" t="s">
        <v>440</v>
      </c>
      <c r="B5" s="4" t="s">
        <v>441</v>
      </c>
      <c r="C5" s="5" t="s">
        <v>439</v>
      </c>
    </row>
    <row r="6" customFormat="false" ht="41.75" hidden="false" customHeight="false" outlineLevel="0" collapsed="false">
      <c r="A6" s="4" t="s">
        <v>442</v>
      </c>
      <c r="B6" s="4" t="s">
        <v>443</v>
      </c>
      <c r="C6" s="5" t="s">
        <v>16</v>
      </c>
    </row>
    <row r="7" customFormat="false" ht="41.75" hidden="false" customHeight="false" outlineLevel="0" collapsed="false">
      <c r="A7" s="4" t="s">
        <v>444</v>
      </c>
      <c r="B7" s="4" t="s">
        <v>445</v>
      </c>
      <c r="C7" s="5" t="s">
        <v>16</v>
      </c>
    </row>
    <row r="8" customFormat="false" ht="41.75" hidden="false" customHeight="false" outlineLevel="0" collapsed="false">
      <c r="A8" s="4" t="s">
        <v>446</v>
      </c>
      <c r="B8" s="4" t="s">
        <v>447</v>
      </c>
      <c r="C8" s="5" t="s">
        <v>16</v>
      </c>
    </row>
    <row r="9" customFormat="false" ht="41.75" hidden="false" customHeight="false" outlineLevel="0" collapsed="false">
      <c r="A9" s="4" t="s">
        <v>448</v>
      </c>
      <c r="B9" s="4" t="s">
        <v>449</v>
      </c>
      <c r="C9" s="5" t="s">
        <v>16</v>
      </c>
    </row>
    <row r="10" customFormat="false" ht="41.75" hidden="false" customHeight="false" outlineLevel="0" collapsed="false">
      <c r="A10" s="4" t="s">
        <v>292</v>
      </c>
      <c r="B10" s="4" t="s">
        <v>450</v>
      </c>
      <c r="C10" s="5" t="s">
        <v>16</v>
      </c>
    </row>
    <row r="11" customFormat="false" ht="41.75" hidden="false" customHeight="false" outlineLevel="0" collapsed="false">
      <c r="A11" s="4" t="s">
        <v>451</v>
      </c>
      <c r="B11" s="4" t="s">
        <v>452</v>
      </c>
      <c r="C11" s="5" t="s">
        <v>16</v>
      </c>
    </row>
    <row r="12" customFormat="false" ht="41.75" hidden="false" customHeight="false" outlineLevel="0" collapsed="false">
      <c r="A12" s="4" t="s">
        <v>453</v>
      </c>
      <c r="B12" s="4" t="s">
        <v>454</v>
      </c>
      <c r="C12" s="5" t="s">
        <v>16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0"/>
  </cols>
  <sheetData>
    <row r="1" customFormat="false" ht="16.15" hidden="false" customHeight="false" outlineLevel="0" collapsed="false">
      <c r="A1" s="6" t="s">
        <v>455</v>
      </c>
      <c r="B1" s="6"/>
      <c r="C1" s="6"/>
      <c r="D1" s="6"/>
    </row>
    <row r="3" customFormat="false" ht="15" hidden="false" customHeight="false" outlineLevel="0" collapsed="false">
      <c r="A3" s="3" t="s">
        <v>456</v>
      </c>
      <c r="B3" s="3" t="s">
        <v>457</v>
      </c>
      <c r="C3" s="3" t="s">
        <v>458</v>
      </c>
      <c r="D3" s="3" t="s">
        <v>459</v>
      </c>
    </row>
    <row r="4" customFormat="false" ht="15" hidden="false" customHeight="false" outlineLevel="0" collapsed="false">
      <c r="A4" s="4" t="s">
        <v>460</v>
      </c>
      <c r="B4" s="5" t="s">
        <v>461</v>
      </c>
      <c r="C4" s="5" t="s">
        <v>461</v>
      </c>
      <c r="D4" s="5" t="s">
        <v>461</v>
      </c>
    </row>
    <row r="5" customFormat="false" ht="15" hidden="false" customHeight="false" outlineLevel="0" collapsed="false">
      <c r="A5" s="4" t="s">
        <v>462</v>
      </c>
      <c r="B5" s="5" t="s">
        <v>461</v>
      </c>
      <c r="C5" s="5" t="s">
        <v>461</v>
      </c>
      <c r="D5" s="5" t="s">
        <v>461</v>
      </c>
    </row>
    <row r="6" customFormat="false" ht="15" hidden="false" customHeight="false" outlineLevel="0" collapsed="false">
      <c r="A6" s="4" t="s">
        <v>463</v>
      </c>
      <c r="B6" s="5" t="s">
        <v>461</v>
      </c>
      <c r="C6" s="5" t="s">
        <v>461</v>
      </c>
      <c r="D6" s="5" t="s">
        <v>461</v>
      </c>
    </row>
    <row r="7" customFormat="false" ht="15" hidden="false" customHeight="false" outlineLevel="0" collapsed="false">
      <c r="A7" s="4" t="s">
        <v>464</v>
      </c>
      <c r="B7" s="5" t="s">
        <v>461</v>
      </c>
      <c r="C7" s="5" t="s">
        <v>461</v>
      </c>
      <c r="D7" s="5" t="s">
        <v>461</v>
      </c>
    </row>
    <row r="8" customFormat="false" ht="15" hidden="false" customHeight="false" outlineLevel="0" collapsed="false">
      <c r="A8" s="4" t="s">
        <v>465</v>
      </c>
      <c r="B8" s="5" t="s">
        <v>461</v>
      </c>
      <c r="C8" s="5" t="s">
        <v>461</v>
      </c>
      <c r="D8" s="5" t="s">
        <v>461</v>
      </c>
    </row>
    <row r="9" customFormat="false" ht="15" hidden="false" customHeight="false" outlineLevel="0" collapsed="false">
      <c r="A9" s="4" t="s">
        <v>466</v>
      </c>
      <c r="B9" s="5" t="s">
        <v>461</v>
      </c>
      <c r="C9" s="5" t="s">
        <v>461</v>
      </c>
      <c r="D9" s="5" t="s">
        <v>461</v>
      </c>
    </row>
    <row r="10" customFormat="false" ht="15" hidden="false" customHeight="false" outlineLevel="0" collapsed="false">
      <c r="A10" s="4" t="s">
        <v>467</v>
      </c>
      <c r="B10" s="5" t="s">
        <v>461</v>
      </c>
      <c r="C10" s="5" t="s">
        <v>461</v>
      </c>
      <c r="D10" s="5" t="s">
        <v>461</v>
      </c>
    </row>
    <row r="11" customFormat="false" ht="15" hidden="false" customHeight="false" outlineLevel="0" collapsed="false">
      <c r="A11" s="4" t="s">
        <v>468</v>
      </c>
      <c r="B11" s="5" t="s">
        <v>461</v>
      </c>
      <c r="C11" s="5" t="s">
        <v>461</v>
      </c>
      <c r="D11" s="5" t="s">
        <v>461</v>
      </c>
    </row>
    <row r="12" customFormat="false" ht="15" hidden="false" customHeight="false" outlineLevel="0" collapsed="false">
      <c r="A12" s="4" t="s">
        <v>469</v>
      </c>
      <c r="B12" s="5" t="s">
        <v>461</v>
      </c>
      <c r="C12" s="5" t="s">
        <v>461</v>
      </c>
      <c r="D12" s="5" t="s">
        <v>461</v>
      </c>
    </row>
    <row r="13" customFormat="false" ht="15" hidden="false" customHeight="false" outlineLevel="0" collapsed="false">
      <c r="A13" s="4" t="s">
        <v>470</v>
      </c>
      <c r="B13" s="5" t="s">
        <v>461</v>
      </c>
      <c r="C13" s="5" t="s">
        <v>461</v>
      </c>
      <c r="D13" s="5" t="s">
        <v>461</v>
      </c>
    </row>
    <row r="14" customFormat="false" ht="15" hidden="false" customHeight="false" outlineLevel="0" collapsed="false">
      <c r="A14" s="4" t="s">
        <v>471</v>
      </c>
      <c r="B14" s="5" t="s">
        <v>461</v>
      </c>
      <c r="C14" s="5" t="s">
        <v>461</v>
      </c>
      <c r="D14" s="5" t="s">
        <v>461</v>
      </c>
    </row>
    <row r="15" customFormat="false" ht="15" hidden="false" customHeight="false" outlineLevel="0" collapsed="false">
      <c r="A15" s="4" t="s">
        <v>472</v>
      </c>
      <c r="B15" s="5" t="s">
        <v>461</v>
      </c>
      <c r="C15" s="5" t="s">
        <v>461</v>
      </c>
      <c r="D15" s="5" t="s">
        <v>461</v>
      </c>
    </row>
    <row r="16" customFormat="false" ht="15" hidden="false" customHeight="false" outlineLevel="0" collapsed="false">
      <c r="A16" s="4" t="s">
        <v>473</v>
      </c>
      <c r="B16" s="5" t="s">
        <v>461</v>
      </c>
      <c r="C16" s="5" t="s">
        <v>461</v>
      </c>
      <c r="D16" s="5" t="s">
        <v>461</v>
      </c>
    </row>
    <row r="17" customFormat="false" ht="15" hidden="false" customHeight="false" outlineLevel="0" collapsed="false">
      <c r="A17" s="4" t="s">
        <v>474</v>
      </c>
      <c r="B17" s="5" t="s">
        <v>461</v>
      </c>
      <c r="C17" s="5" t="s">
        <v>461</v>
      </c>
      <c r="D17" s="5" t="s">
        <v>461</v>
      </c>
    </row>
    <row r="18" customFormat="false" ht="15" hidden="false" customHeight="false" outlineLevel="0" collapsed="false">
      <c r="A18" s="4" t="s">
        <v>475</v>
      </c>
      <c r="B18" s="5" t="s">
        <v>461</v>
      </c>
      <c r="C18" s="5" t="s">
        <v>461</v>
      </c>
      <c r="D18" s="5" t="s">
        <v>461</v>
      </c>
    </row>
    <row r="19" customFormat="false" ht="15" hidden="false" customHeight="false" outlineLevel="0" collapsed="false">
      <c r="A19" s="4" t="s">
        <v>476</v>
      </c>
      <c r="B19" s="5" t="s">
        <v>461</v>
      </c>
      <c r="C19" s="5" t="s">
        <v>461</v>
      </c>
      <c r="D19" s="5" t="s">
        <v>461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5" min="4" style="0" width="10"/>
    <col collapsed="false" customWidth="true" hidden="false" outlineLevel="0" max="7" min="6" style="0" width="12"/>
    <col collapsed="false" customWidth="true" hidden="false" outlineLevel="0" max="8" min="8" style="0" width="18"/>
  </cols>
  <sheetData>
    <row r="1" customFormat="false" ht="16.15" hidden="false" customHeight="false" outlineLevel="0" collapsed="false">
      <c r="A1" s="6" t="s">
        <v>477</v>
      </c>
      <c r="B1" s="6"/>
      <c r="C1" s="6"/>
      <c r="D1" s="6"/>
      <c r="E1" s="6"/>
      <c r="F1" s="6"/>
      <c r="G1" s="6"/>
      <c r="H1" s="6"/>
    </row>
    <row r="3" customFormat="false" ht="15" hidden="false" customHeight="false" outlineLevel="0" collapsed="false">
      <c r="A3" s="3" t="s">
        <v>478</v>
      </c>
      <c r="B3" s="3" t="s">
        <v>424</v>
      </c>
      <c r="C3" s="3" t="s">
        <v>5</v>
      </c>
      <c r="D3" s="3" t="s">
        <v>479</v>
      </c>
      <c r="E3" s="3" t="s">
        <v>8</v>
      </c>
      <c r="F3" s="3" t="s">
        <v>480</v>
      </c>
      <c r="G3" s="3" t="s">
        <v>481</v>
      </c>
      <c r="H3" s="3" t="s">
        <v>482</v>
      </c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2026-05-16T15:55:40Z</dcterms:created>
  <dc:creator>openpyxl</dc:creator>
  <dc:description/>
  <dc:language>en-US</dc:language>
  <cp:lastModifiedBy/>
  <dcterms:modified xsi:type="dcterms:W3CDTF">2026-05-16T15:55:40Z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